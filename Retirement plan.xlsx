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256" windowHeight="51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2" i="1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L22" i="1"/>
  <c r="P22" i="1" s="1"/>
  <c r="Q22" i="1" s="1"/>
  <c r="L26" i="1"/>
  <c r="P26" i="1" s="1"/>
  <c r="Q26" i="1" s="1"/>
  <c r="L34" i="1"/>
  <c r="P34" i="1" s="1"/>
  <c r="Q34" i="1" s="1"/>
  <c r="L6" i="1"/>
  <c r="P6" i="1" s="1"/>
  <c r="Q6" i="1" s="1"/>
  <c r="L10" i="1"/>
  <c r="P10" i="1" s="1"/>
  <c r="Q10" i="1" s="1"/>
  <c r="L2" i="1"/>
  <c r="P2" i="1" s="1"/>
  <c r="Q2" i="1" s="1"/>
  <c r="L8" i="1" l="1"/>
  <c r="P8" i="1" s="1"/>
  <c r="Q8" i="1" s="1"/>
  <c r="L24" i="1"/>
  <c r="P24" i="1" s="1"/>
  <c r="Q24" i="1" s="1"/>
  <c r="L31" i="1"/>
  <c r="P31" i="1" s="1"/>
  <c r="Q31" i="1" s="1"/>
  <c r="L15" i="1"/>
  <c r="P15" i="1" s="1"/>
  <c r="Q15" i="1" s="1"/>
  <c r="L7" i="1"/>
  <c r="P7" i="1" s="1"/>
  <c r="Q7" i="1" s="1"/>
  <c r="L9" i="1"/>
  <c r="P9" i="1" s="1"/>
  <c r="Q9" i="1" s="1"/>
  <c r="L23" i="1"/>
  <c r="P23" i="1" s="1"/>
  <c r="Q23" i="1" s="1"/>
  <c r="L14" i="1"/>
  <c r="P14" i="1" s="1"/>
  <c r="Q14" i="1" s="1"/>
  <c r="L25" i="1"/>
  <c r="P25" i="1" s="1"/>
  <c r="Q25" i="1" s="1"/>
  <c r="L21" i="1"/>
  <c r="P21" i="1" s="1"/>
  <c r="Q21" i="1" s="1"/>
  <c r="L5" i="1"/>
  <c r="P5" i="1" s="1"/>
  <c r="Q5" i="1" s="1"/>
  <c r="L36" i="1"/>
  <c r="P36" i="1" s="1"/>
  <c r="Q36" i="1" s="1"/>
  <c r="L28" i="1"/>
  <c r="P28" i="1" s="1"/>
  <c r="Q28" i="1" s="1"/>
  <c r="L20" i="1"/>
  <c r="P20" i="1" s="1"/>
  <c r="Q20" i="1" s="1"/>
  <c r="L12" i="1"/>
  <c r="P12" i="1" s="1"/>
  <c r="Q12" i="1" s="1"/>
  <c r="L4" i="1"/>
  <c r="P4" i="1" s="1"/>
  <c r="Q4" i="1" s="1"/>
  <c r="L33" i="1"/>
  <c r="P33" i="1" s="1"/>
  <c r="Q33" i="1" s="1"/>
  <c r="L35" i="1"/>
  <c r="P35" i="1" s="1"/>
  <c r="Q35" i="1" s="1"/>
  <c r="L27" i="1"/>
  <c r="P27" i="1" s="1"/>
  <c r="Q27" i="1" s="1"/>
  <c r="L19" i="1"/>
  <c r="P19" i="1" s="1"/>
  <c r="Q19" i="1" s="1"/>
  <c r="L11" i="1"/>
  <c r="P11" i="1" s="1"/>
  <c r="Q11" i="1" s="1"/>
  <c r="L3" i="1"/>
  <c r="P3" i="1" s="1"/>
  <c r="Q3" i="1" s="1"/>
  <c r="L17" i="1"/>
  <c r="P17" i="1" s="1"/>
  <c r="Q17" i="1" s="1"/>
  <c r="L32" i="1"/>
  <c r="P32" i="1" s="1"/>
  <c r="Q32" i="1" s="1"/>
  <c r="L16" i="1"/>
  <c r="P16" i="1" s="1"/>
  <c r="Q16" i="1" s="1"/>
  <c r="L29" i="1"/>
  <c r="P29" i="1" s="1"/>
  <c r="Q29" i="1" s="1"/>
  <c r="L13" i="1"/>
  <c r="P13" i="1" s="1"/>
  <c r="Q13" i="1" s="1"/>
  <c r="L30" i="1"/>
  <c r="P30" i="1" s="1"/>
  <c r="Q30" i="1" s="1"/>
  <c r="L18" i="1"/>
  <c r="P18" i="1" s="1"/>
  <c r="Q18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</calcChain>
</file>

<file path=xl/sharedStrings.xml><?xml version="1.0" encoding="utf-8"?>
<sst xmlns="http://schemas.openxmlformats.org/spreadsheetml/2006/main" count="88" uniqueCount="54">
  <si>
    <t>Expected Retrun On Investment</t>
  </si>
  <si>
    <t>Expected Pension rate</t>
  </si>
  <si>
    <t>Years</t>
  </si>
  <si>
    <t>Client_Name</t>
  </si>
  <si>
    <t xml:space="preserve">Client_ID </t>
  </si>
  <si>
    <t>Present_age</t>
  </si>
  <si>
    <t>Retierment_age</t>
  </si>
  <si>
    <t>Monthly_Income</t>
  </si>
  <si>
    <t>Annual_Income</t>
  </si>
  <si>
    <t>Monthly_Expenses</t>
  </si>
  <si>
    <t>Infletion_Rate</t>
  </si>
  <si>
    <t>Life_Expectency</t>
  </si>
  <si>
    <t>Yash</t>
  </si>
  <si>
    <t>Monthly Expenses at Retirement</t>
  </si>
  <si>
    <t xml:space="preserve">Year to Retirement </t>
  </si>
  <si>
    <t>Retirement Kitty Required</t>
  </si>
  <si>
    <t>Inflation Adjusted Returns</t>
  </si>
  <si>
    <t>Retierment_Years</t>
  </si>
  <si>
    <t>Yearly Investment Required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</si>
  <si>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</si>
  <si>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</si>
  <si>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</si>
  <si>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</si>
  <si>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</si>
  <si>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</si>
  <si>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</si>
  <si>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</si>
  <si>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</si>
  <si>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</si>
  <si>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</si>
  <si>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</si>
  <si>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</si>
  <si>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</si>
  <si>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</si>
  <si>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</si>
  <si>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</si>
  <si>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</si>
  <si>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</si>
  <si>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</si>
  <si>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</si>
  <si>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</si>
  <si>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</si>
  <si>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</si>
  <si>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</si>
  <si>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</si>
  <si>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</si>
  <si>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2025-53</t>
  </si>
  <si>
    <t>2025-54</t>
  </si>
  <si>
    <t>2025-55</t>
  </si>
  <si>
    <t>2025-56</t>
  </si>
  <si>
    <t>2025-57</t>
  </si>
  <si>
    <t>2025-58</t>
  </si>
  <si>
    <t>2025-59</t>
  </si>
  <si>
    <t>2025-60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</si>
</sst>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 applyFont="1" applyFill="1"/>
    <xf numFmtId="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activeCell="G2" sqref="G2:G36"/>
    </sheetView>
  </sheetViews>
  <sheetFormatPr defaultRowHeight="14.4" x14ac:dyDescent="0.3"/>
  <cols>
    <col min="1" max="1" width="11.5546875" customWidth="1"/>
    <col min="2" max="2" width="8.88671875" customWidth="1"/>
    <col min="3" max="3" width="11.33203125" customWidth="1"/>
    <col min="4" max="4" width="13.88671875" customWidth="1"/>
    <col min="5" max="5" width="15.109375" customWidth="1"/>
    <col min="6" max="6" width="13.88671875" customWidth="1"/>
    <col min="7" max="7" width="16.5546875" customWidth="1"/>
    <col min="8" max="8" width="13" customWidth="1"/>
    <col min="9" max="9" width="26.21875" customWidth="1"/>
    <col min="10" max="10" width="19.6640625" customWidth="1"/>
    <col min="11" max="11" width="16.77734375" customWidth="1"/>
    <col min="12" max="12" width="27.21875" customWidth="1"/>
    <col min="13" max="14" width="15.77734375" customWidth="1"/>
    <col min="15" max="15" width="22.44140625" customWidth="1"/>
    <col min="16" max="16" width="24.88671875" customWidth="1"/>
    <col min="17" max="17" width="25.77734375" customWidth="1"/>
    <col min="18" max="18" width="8.5546875" customWidth="1"/>
  </cols>
  <sheetData>
    <row r="1" spans="1:1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0</v>
      </c>
      <c r="J1" t="s">
        <v>1</v>
      </c>
      <c r="K1" t="s">
        <v>14</v>
      </c>
      <c r="L1" t="s">
        <v>13</v>
      </c>
      <c r="M1" t="s">
        <v>11</v>
      </c>
      <c r="N1" t="s">
        <v>17</v>
      </c>
      <c r="O1" t="s">
        <v>16</v>
      </c>
      <c r="P1" t="s">
        <v>15</v>
      </c>
      <c r="Q1" t="s">
        <v>18</v>
      </c>
      <c r="R1" t="s">
        <v>2</v>
      </c>
    </row>
    <row r="2" spans="1:18" x14ac:dyDescent="0.3">
      <c r="A2" s="3" t="s">
        <v>12</v>
      </c>
      <c r="B2">
        <v>1001</v>
      </c>
      <c r="C2">
        <v>21</v>
      </c>
      <c r="D2">
        <v>60</v>
      </c>
      <c r="E2" s="3">
        <v>1000000</v>
      </c>
      <c r="F2" s="2">
        <f>E2*12</f>
        <v>12000000</v>
      </c>
      <c r="G2" s="5">
        <v>800000</v>
      </c>
      <c r="H2" s="1">
        <v>0.06</v>
      </c>
      <c r="I2" s="1">
        <v>0.1</v>
      </c>
      <c r="J2" s="1">
        <v>0.05</v>
      </c>
      <c r="K2" s="4">
        <f>D2-C2</f>
        <v>39</v>
      </c>
      <c r="L2" s="6">
        <f t="shared" ref="L2:L36" si="0">FV(H2,K2,,-G2)</f>
        <v>7762805.9902837211</v>
      </c>
      <c r="M2" s="2">
        <v>61</v>
      </c>
      <c r="N2">
        <f>M2-D2</f>
        <v>1</v>
      </c>
      <c r="O2" s="7">
        <f>((1+J2)/(1+H2))-1</f>
        <v>-9.4339622641509413E-3</v>
      </c>
      <c r="P2" s="6">
        <f>PV(O2/12,N2*12,-L2,M2,0)</f>
        <v>93631382.997341543</v>
      </c>
      <c r="Q2" s="6">
        <f>PMT(I2,K2,M2,-P2,0)</f>
        <v>233228.0269613713</v>
      </c>
      <c r="R2" t="s">
        <v>19</v>
      </c>
    </row>
    <row r="3" spans="1:18" x14ac:dyDescent="0.3">
      <c r="A3" s="3" t="s">
        <v>12</v>
      </c>
      <c r="B3">
        <v>1002</v>
      </c>
      <c r="C3">
        <v>22</v>
      </c>
      <c r="D3">
        <v>60</v>
      </c>
      <c r="E3" s="3">
        <v>1000000</v>
      </c>
      <c r="F3" s="2">
        <f t="shared" ref="F3:F36" si="1">E3*12</f>
        <v>12000000</v>
      </c>
      <c r="G3" s="5">
        <v>800000</v>
      </c>
      <c r="H3" s="1">
        <v>0.06</v>
      </c>
      <c r="I3" s="1">
        <v>0.1</v>
      </c>
      <c r="J3" s="1">
        <v>0.05</v>
      </c>
      <c r="K3" s="4">
        <f t="shared" ref="K3:K36" si="2">D3-C3</f>
        <v>38</v>
      </c>
      <c r="L3" s="6">
        <f t="shared" si="0"/>
        <v>7323401.8776261508</v>
      </c>
      <c r="M3" s="2">
        <v>62</v>
      </c>
      <c r="N3">
        <f t="shared" ref="N3:N36" si="3">M3-D3</f>
        <v>2</v>
      </c>
      <c r="O3" s="7">
        <f t="shared" ref="O3:O36" si="4">((1+J3)/(1+H3))-1</f>
        <v>-9.4339622641509413E-3</v>
      </c>
      <c r="P3" s="6">
        <f t="shared" ref="P3:P36" si="5">PV(O3/12,N3*12,-L3,M3,0)</f>
        <v>177500630.28392407</v>
      </c>
      <c r="Q3" s="6">
        <f t="shared" ref="Q3:Q36" si="6">PMT(I3,K3,M3,-P3,0)</f>
        <v>487574.5430868715</v>
      </c>
      <c r="R3" t="s">
        <v>20</v>
      </c>
    </row>
    <row r="4" spans="1:18" x14ac:dyDescent="0.3">
      <c r="A4" s="3" t="s">
        <v>12</v>
      </c>
      <c r="B4">
        <v>1003</v>
      </c>
      <c r="C4">
        <v>23</v>
      </c>
      <c r="D4">
        <v>60</v>
      </c>
      <c r="E4" s="3">
        <v>1000000</v>
      </c>
      <c r="F4" s="2">
        <f t="shared" si="1"/>
        <v>12000000</v>
      </c>
      <c r="G4" s="5">
        <v>800000</v>
      </c>
      <c r="H4" s="1">
        <v>0.06</v>
      </c>
      <c r="I4" s="1">
        <v>0.1</v>
      </c>
      <c r="J4" s="1">
        <v>0.05</v>
      </c>
      <c r="K4" s="4">
        <f t="shared" si="2"/>
        <v>37</v>
      </c>
      <c r="L4" s="6">
        <f t="shared" si="0"/>
        <v>6908869.6958737262</v>
      </c>
      <c r="M4" s="2">
        <v>63</v>
      </c>
      <c r="N4">
        <f t="shared" si="3"/>
        <v>3</v>
      </c>
      <c r="O4" s="7">
        <f t="shared" si="4"/>
        <v>-9.4339622641509413E-3</v>
      </c>
      <c r="P4" s="6">
        <f t="shared" si="5"/>
        <v>252372924.11585811</v>
      </c>
      <c r="Q4" s="6">
        <f t="shared" si="6"/>
        <v>764668.44931683247</v>
      </c>
      <c r="R4" t="s">
        <v>21</v>
      </c>
    </row>
    <row r="5" spans="1:18" x14ac:dyDescent="0.3">
      <c r="A5" s="3" t="s">
        <v>12</v>
      </c>
      <c r="B5">
        <v>1004</v>
      </c>
      <c r="C5">
        <v>24</v>
      </c>
      <c r="D5">
        <v>60</v>
      </c>
      <c r="E5" s="3">
        <v>1000000</v>
      </c>
      <c r="F5" s="2">
        <f t="shared" si="1"/>
        <v>12000000</v>
      </c>
      <c r="G5" s="5">
        <v>800000</v>
      </c>
      <c r="H5" s="1">
        <v>0.06</v>
      </c>
      <c r="I5" s="1">
        <v>0.1</v>
      </c>
      <c r="J5" s="1">
        <v>0.05</v>
      </c>
      <c r="K5" s="4">
        <f t="shared" si="2"/>
        <v>36</v>
      </c>
      <c r="L5" s="6">
        <f t="shared" si="0"/>
        <v>6517801.5998808732</v>
      </c>
      <c r="M5" s="2">
        <v>64</v>
      </c>
      <c r="N5">
        <f t="shared" si="3"/>
        <v>4</v>
      </c>
      <c r="O5" s="7">
        <f t="shared" si="4"/>
        <v>-9.4339622641509413E-3</v>
      </c>
      <c r="P5" s="6">
        <f t="shared" si="5"/>
        <v>318960055.91993433</v>
      </c>
      <c r="Q5" s="6">
        <f t="shared" si="6"/>
        <v>1066297.2084961773</v>
      </c>
      <c r="R5" t="s">
        <v>22</v>
      </c>
    </row>
    <row r="6" spans="1:18" x14ac:dyDescent="0.3">
      <c r="A6" s="3" t="s">
        <v>12</v>
      </c>
      <c r="B6">
        <v>1005</v>
      </c>
      <c r="C6">
        <v>25</v>
      </c>
      <c r="D6">
        <v>60</v>
      </c>
      <c r="E6" s="3">
        <v>1000000</v>
      </c>
      <c r="F6" s="2">
        <f t="shared" si="1"/>
        <v>12000000</v>
      </c>
      <c r="G6" s="5">
        <v>800000</v>
      </c>
      <c r="H6" s="1">
        <v>0.06</v>
      </c>
      <c r="I6" s="1">
        <v>0.1</v>
      </c>
      <c r="J6" s="1">
        <v>0.05</v>
      </c>
      <c r="K6" s="4">
        <f t="shared" si="2"/>
        <v>35</v>
      </c>
      <c r="L6" s="6">
        <f t="shared" si="0"/>
        <v>6148869.4338498805</v>
      </c>
      <c r="M6" s="2">
        <v>65</v>
      </c>
      <c r="N6">
        <f t="shared" si="3"/>
        <v>5</v>
      </c>
      <c r="O6" s="7">
        <f t="shared" si="4"/>
        <v>-9.4339622641509413E-3</v>
      </c>
      <c r="P6" s="6">
        <f t="shared" si="5"/>
        <v>377923874.83869857</v>
      </c>
      <c r="Q6" s="6">
        <f t="shared" si="6"/>
        <v>1394420.9160929979</v>
      </c>
      <c r="R6" t="s">
        <v>23</v>
      </c>
    </row>
    <row r="7" spans="1:18" x14ac:dyDescent="0.3">
      <c r="A7" s="3" t="s">
        <v>12</v>
      </c>
      <c r="B7">
        <v>1006</v>
      </c>
      <c r="C7">
        <v>26</v>
      </c>
      <c r="D7">
        <v>60</v>
      </c>
      <c r="E7" s="3">
        <v>1000000</v>
      </c>
      <c r="F7" s="2">
        <f t="shared" si="1"/>
        <v>12000000</v>
      </c>
      <c r="G7" s="5">
        <v>800000</v>
      </c>
      <c r="H7" s="1">
        <v>0.06</v>
      </c>
      <c r="I7" s="1">
        <v>0.1</v>
      </c>
      <c r="J7" s="1">
        <v>0.05</v>
      </c>
      <c r="K7" s="4">
        <f t="shared" si="2"/>
        <v>34</v>
      </c>
      <c r="L7" s="6">
        <f t="shared" si="0"/>
        <v>5800820.220613094</v>
      </c>
      <c r="M7" s="2">
        <v>66</v>
      </c>
      <c r="N7">
        <f t="shared" si="3"/>
        <v>6</v>
      </c>
      <c r="O7" s="7">
        <f t="shared" si="4"/>
        <v>-9.4339622641509413E-3</v>
      </c>
      <c r="P7" s="6">
        <f t="shared" si="5"/>
        <v>429879574.65848589</v>
      </c>
      <c r="Q7" s="6">
        <f t="shared" si="6"/>
        <v>1751196.3087783398</v>
      </c>
      <c r="R7" t="s">
        <v>24</v>
      </c>
    </row>
    <row r="8" spans="1:18" x14ac:dyDescent="0.3">
      <c r="A8" s="3" t="s">
        <v>12</v>
      </c>
      <c r="B8">
        <v>1007</v>
      </c>
      <c r="C8">
        <v>27</v>
      </c>
      <c r="D8">
        <v>60</v>
      </c>
      <c r="E8" s="3">
        <v>1000000</v>
      </c>
      <c r="F8" s="2">
        <f t="shared" si="1"/>
        <v>12000000</v>
      </c>
      <c r="G8" s="5">
        <v>800000</v>
      </c>
      <c r="H8" s="1">
        <v>0.06</v>
      </c>
      <c r="I8" s="1">
        <v>0.1</v>
      </c>
      <c r="J8" s="1">
        <v>0.05</v>
      </c>
      <c r="K8" s="4">
        <f t="shared" si="2"/>
        <v>33</v>
      </c>
      <c r="L8" s="6">
        <f t="shared" si="0"/>
        <v>5472471.9062387673</v>
      </c>
      <c r="M8" s="2">
        <v>67</v>
      </c>
      <c r="N8">
        <f t="shared" si="3"/>
        <v>7</v>
      </c>
      <c r="O8" s="7">
        <f t="shared" si="4"/>
        <v>-9.4339622641509413E-3</v>
      </c>
      <c r="P8" s="6">
        <f t="shared" si="5"/>
        <v>475398772.761859</v>
      </c>
      <c r="Q8" s="6">
        <f t="shared" si="6"/>
        <v>2139005.235667163</v>
      </c>
      <c r="R8" t="s">
        <v>25</v>
      </c>
    </row>
    <row r="9" spans="1:18" x14ac:dyDescent="0.3">
      <c r="A9" s="3" t="s">
        <v>12</v>
      </c>
      <c r="B9">
        <v>1008</v>
      </c>
      <c r="C9">
        <v>28</v>
      </c>
      <c r="D9">
        <v>60</v>
      </c>
      <c r="E9" s="3">
        <v>1000000</v>
      </c>
      <c r="F9" s="2">
        <f t="shared" si="1"/>
        <v>12000000</v>
      </c>
      <c r="G9" s="5">
        <v>800000</v>
      </c>
      <c r="H9" s="1">
        <v>0.06</v>
      </c>
      <c r="I9" s="1">
        <v>0.1</v>
      </c>
      <c r="J9" s="1">
        <v>0.05</v>
      </c>
      <c r="K9" s="4">
        <f t="shared" si="2"/>
        <v>32</v>
      </c>
      <c r="L9" s="6">
        <f t="shared" si="0"/>
        <v>5162709.3455082709</v>
      </c>
      <c r="M9" s="2">
        <v>68</v>
      </c>
      <c r="N9">
        <f t="shared" si="3"/>
        <v>8</v>
      </c>
      <c r="O9" s="7">
        <f t="shared" si="4"/>
        <v>-9.4339622641509413E-3</v>
      </c>
      <c r="P9" s="6">
        <f t="shared" si="5"/>
        <v>515012393.9214918</v>
      </c>
      <c r="Q9" s="6">
        <f t="shared" si="6"/>
        <v>2560488.5880204979</v>
      </c>
      <c r="R9" t="s">
        <v>26</v>
      </c>
    </row>
    <row r="10" spans="1:18" x14ac:dyDescent="0.3">
      <c r="A10" s="3" t="s">
        <v>12</v>
      </c>
      <c r="B10">
        <v>1009</v>
      </c>
      <c r="C10">
        <v>29</v>
      </c>
      <c r="D10">
        <v>60</v>
      </c>
      <c r="E10" s="3">
        <v>1000000</v>
      </c>
      <c r="F10" s="2">
        <f t="shared" si="1"/>
        <v>12000000</v>
      </c>
      <c r="G10" s="5">
        <v>800000</v>
      </c>
      <c r="H10" s="1">
        <v>0.06</v>
      </c>
      <c r="I10" s="1">
        <v>0.1</v>
      </c>
      <c r="J10" s="1">
        <v>0.05</v>
      </c>
      <c r="K10" s="4">
        <f t="shared" si="2"/>
        <v>31</v>
      </c>
      <c r="L10" s="6">
        <f t="shared" si="0"/>
        <v>4870480.5146304453</v>
      </c>
      <c r="M10" s="2">
        <v>69</v>
      </c>
      <c r="N10">
        <f t="shared" si="3"/>
        <v>9</v>
      </c>
      <c r="O10" s="7">
        <f t="shared" si="4"/>
        <v>-9.4339622641509413E-3</v>
      </c>
      <c r="P10" s="6">
        <f t="shared" si="5"/>
        <v>549213370.97720611</v>
      </c>
      <c r="Q10" s="6">
        <f t="shared" si="6"/>
        <v>3018586.9409411671</v>
      </c>
      <c r="R10" t="s">
        <v>27</v>
      </c>
    </row>
    <row r="11" spans="1:18" x14ac:dyDescent="0.3">
      <c r="A11" s="3" t="s">
        <v>12</v>
      </c>
      <c r="B11">
        <v>1010</v>
      </c>
      <c r="C11">
        <v>30</v>
      </c>
      <c r="D11">
        <v>60</v>
      </c>
      <c r="E11" s="3">
        <v>1000000</v>
      </c>
      <c r="F11" s="2">
        <f t="shared" si="1"/>
        <v>12000000</v>
      </c>
      <c r="G11" s="5">
        <v>800000</v>
      </c>
      <c r="H11" s="1">
        <v>0.06</v>
      </c>
      <c r="I11" s="1">
        <v>0.1</v>
      </c>
      <c r="J11" s="1">
        <v>0.05</v>
      </c>
      <c r="K11" s="4">
        <f t="shared" si="2"/>
        <v>30</v>
      </c>
      <c r="L11" s="6">
        <f t="shared" si="0"/>
        <v>4594792.9383306075</v>
      </c>
      <c r="M11" s="2">
        <v>70</v>
      </c>
      <c r="N11">
        <f t="shared" si="3"/>
        <v>10</v>
      </c>
      <c r="O11" s="7">
        <f t="shared" si="4"/>
        <v>-9.4339622641509413E-3</v>
      </c>
      <c r="P11" s="6">
        <f t="shared" si="5"/>
        <v>578459173.70886946</v>
      </c>
      <c r="Q11" s="6">
        <f t="shared" si="6"/>
        <v>3516589.4954423308</v>
      </c>
      <c r="R11" t="s">
        <v>28</v>
      </c>
    </row>
    <row r="12" spans="1:18" x14ac:dyDescent="0.3">
      <c r="A12" s="3" t="s">
        <v>12</v>
      </c>
      <c r="B12">
        <v>1011</v>
      </c>
      <c r="C12">
        <v>31</v>
      </c>
      <c r="D12">
        <v>60</v>
      </c>
      <c r="E12" s="3">
        <v>1000000</v>
      </c>
      <c r="F12" s="2">
        <f t="shared" si="1"/>
        <v>12000000</v>
      </c>
      <c r="G12" s="5">
        <v>800000</v>
      </c>
      <c r="H12" s="1">
        <v>0.06</v>
      </c>
      <c r="I12" s="1">
        <v>0.1</v>
      </c>
      <c r="J12" s="1">
        <v>0.05</v>
      </c>
      <c r="K12" s="4">
        <f t="shared" si="2"/>
        <v>29</v>
      </c>
      <c r="L12" s="6">
        <f t="shared" si="0"/>
        <v>4334710.319179818</v>
      </c>
      <c r="M12" s="2">
        <v>71</v>
      </c>
      <c r="N12">
        <f t="shared" si="3"/>
        <v>11</v>
      </c>
      <c r="O12" s="7">
        <f t="shared" si="4"/>
        <v>-9.4339622641509413E-3</v>
      </c>
      <c r="P12" s="6">
        <f t="shared" si="5"/>
        <v>603174176.53237009</v>
      </c>
      <c r="Q12" s="6">
        <f t="shared" si="6"/>
        <v>4058193.3477818728</v>
      </c>
      <c r="R12" t="s">
        <v>29</v>
      </c>
    </row>
    <row r="13" spans="1:18" x14ac:dyDescent="0.3">
      <c r="A13" s="3" t="s">
        <v>12</v>
      </c>
      <c r="B13">
        <v>1012</v>
      </c>
      <c r="C13">
        <v>32</v>
      </c>
      <c r="D13">
        <v>60</v>
      </c>
      <c r="E13" s="3">
        <v>1000000</v>
      </c>
      <c r="F13" s="2">
        <f t="shared" si="1"/>
        <v>12000000</v>
      </c>
      <c r="G13" s="5">
        <v>800000</v>
      </c>
      <c r="H13" s="1">
        <v>0.06</v>
      </c>
      <c r="I13" s="1">
        <v>0.1</v>
      </c>
      <c r="J13" s="1">
        <v>0.05</v>
      </c>
      <c r="K13" s="4">
        <f t="shared" si="2"/>
        <v>28</v>
      </c>
      <c r="L13" s="6">
        <f t="shared" si="0"/>
        <v>4089349.3577168095</v>
      </c>
      <c r="M13" s="2">
        <v>72</v>
      </c>
      <c r="N13">
        <f t="shared" si="3"/>
        <v>12</v>
      </c>
      <c r="O13" s="7">
        <f t="shared" si="4"/>
        <v>-9.4339622641509413E-3</v>
      </c>
      <c r="P13" s="6">
        <f t="shared" si="5"/>
        <v>623751875.00128257</v>
      </c>
      <c r="Q13" s="6">
        <f t="shared" si="6"/>
        <v>4647575.6921214825</v>
      </c>
      <c r="R13" t="s">
        <v>30</v>
      </c>
    </row>
    <row r="14" spans="1:18" x14ac:dyDescent="0.3">
      <c r="A14" s="3" t="s">
        <v>12</v>
      </c>
      <c r="B14">
        <v>1013</v>
      </c>
      <c r="C14">
        <v>33</v>
      </c>
      <c r="D14">
        <v>60</v>
      </c>
      <c r="E14" s="3">
        <v>1000000</v>
      </c>
      <c r="F14" s="2">
        <f t="shared" si="1"/>
        <v>12000000</v>
      </c>
      <c r="G14" s="5">
        <v>800000</v>
      </c>
      <c r="H14" s="1">
        <v>0.06</v>
      </c>
      <c r="I14" s="1">
        <v>0.1</v>
      </c>
      <c r="J14" s="1">
        <v>0.05</v>
      </c>
      <c r="K14" s="4">
        <f t="shared" si="2"/>
        <v>27</v>
      </c>
      <c r="L14" s="6">
        <f t="shared" si="0"/>
        <v>3857876.7525630277</v>
      </c>
      <c r="M14" s="2">
        <v>73</v>
      </c>
      <c r="N14">
        <f t="shared" si="3"/>
        <v>13</v>
      </c>
      <c r="O14" s="7">
        <f t="shared" si="4"/>
        <v>-9.4339622641509413E-3</v>
      </c>
      <c r="P14" s="6">
        <f t="shared" si="5"/>
        <v>640556960.49090946</v>
      </c>
      <c r="Q14" s="6">
        <f t="shared" si="6"/>
        <v>5289482.3344419366</v>
      </c>
      <c r="R14" t="s">
        <v>31</v>
      </c>
    </row>
    <row r="15" spans="1:18" x14ac:dyDescent="0.3">
      <c r="A15" s="3" t="s">
        <v>12</v>
      </c>
      <c r="B15">
        <v>1014</v>
      </c>
      <c r="C15">
        <v>34</v>
      </c>
      <c r="D15">
        <v>60</v>
      </c>
      <c r="E15" s="3">
        <v>1000000</v>
      </c>
      <c r="F15" s="2">
        <f t="shared" si="1"/>
        <v>12000000</v>
      </c>
      <c r="G15" s="5">
        <v>800000</v>
      </c>
      <c r="H15" s="1">
        <v>0.06</v>
      </c>
      <c r="I15" s="1">
        <v>0.1</v>
      </c>
      <c r="J15" s="1">
        <v>0.05</v>
      </c>
      <c r="K15" s="4">
        <f t="shared" si="2"/>
        <v>26</v>
      </c>
      <c r="L15" s="6">
        <f t="shared" si="0"/>
        <v>3639506.3703424782</v>
      </c>
      <c r="M15" s="2">
        <v>74</v>
      </c>
      <c r="N15">
        <f t="shared" si="3"/>
        <v>14</v>
      </c>
      <c r="O15" s="7">
        <f t="shared" si="4"/>
        <v>-9.4339622641509413E-3</v>
      </c>
      <c r="P15" s="6">
        <f t="shared" si="5"/>
        <v>653927261.87153316</v>
      </c>
      <c r="Q15" s="6">
        <f t="shared" si="6"/>
        <v>5989336.934302724</v>
      </c>
      <c r="R15" t="s">
        <v>32</v>
      </c>
    </row>
    <row r="16" spans="1:18" x14ac:dyDescent="0.3">
      <c r="A16" s="3" t="s">
        <v>12</v>
      </c>
      <c r="B16">
        <v>1015</v>
      </c>
      <c r="C16">
        <v>35</v>
      </c>
      <c r="D16">
        <v>60</v>
      </c>
      <c r="E16" s="3">
        <v>1000000</v>
      </c>
      <c r="F16" s="2">
        <f t="shared" si="1"/>
        <v>12000000</v>
      </c>
      <c r="G16" s="5">
        <v>800000</v>
      </c>
      <c r="H16" s="1">
        <v>0.06</v>
      </c>
      <c r="I16" s="1">
        <v>0.1</v>
      </c>
      <c r="J16" s="1">
        <v>0.05</v>
      </c>
      <c r="K16" s="4">
        <f t="shared" si="2"/>
        <v>25</v>
      </c>
      <c r="L16" s="6">
        <f t="shared" si="0"/>
        <v>3433496.5757947904</v>
      </c>
      <c r="M16" s="2">
        <v>75</v>
      </c>
      <c r="N16">
        <f t="shared" si="3"/>
        <v>15</v>
      </c>
      <c r="O16" s="7">
        <f t="shared" si="4"/>
        <v>-9.4339622641509413E-3</v>
      </c>
      <c r="P16" s="6">
        <f>PV(O16/12,N16*12,-L16,M16,0)</f>
        <v>664175562.44213378</v>
      </c>
      <c r="Q16" s="6">
        <f t="shared" si="6"/>
        <v>6753376.8031538967</v>
      </c>
      <c r="R16" t="s">
        <v>33</v>
      </c>
    </row>
    <row r="17" spans="1:18" x14ac:dyDescent="0.3">
      <c r="A17" s="3" t="s">
        <v>12</v>
      </c>
      <c r="B17">
        <v>1016</v>
      </c>
      <c r="C17">
        <v>36</v>
      </c>
      <c r="D17">
        <v>60</v>
      </c>
      <c r="E17" s="3">
        <v>1000000</v>
      </c>
      <c r="F17" s="2">
        <f t="shared" si="1"/>
        <v>12000000</v>
      </c>
      <c r="G17" s="5">
        <v>800000</v>
      </c>
      <c r="H17" s="1">
        <v>0.06</v>
      </c>
      <c r="I17" s="1">
        <v>0.1</v>
      </c>
      <c r="J17" s="1">
        <v>0.05</v>
      </c>
      <c r="K17" s="4">
        <f t="shared" si="2"/>
        <v>24</v>
      </c>
      <c r="L17" s="6">
        <f t="shared" si="0"/>
        <v>3239147.7130139535</v>
      </c>
      <c r="M17" s="2">
        <v>76</v>
      </c>
      <c r="N17">
        <f t="shared" si="3"/>
        <v>16</v>
      </c>
      <c r="O17" s="7">
        <f t="shared" si="4"/>
        <v>-9.4339622641509413E-3</v>
      </c>
      <c r="P17" s="6">
        <f t="shared" si="5"/>
        <v>671591299.89222038</v>
      </c>
      <c r="Q17" s="6">
        <f t="shared" si="6"/>
        <v>7588823.0290668011</v>
      </c>
      <c r="R17" t="s">
        <v>34</v>
      </c>
    </row>
    <row r="18" spans="1:18" x14ac:dyDescent="0.3">
      <c r="A18" s="3" t="s">
        <v>12</v>
      </c>
      <c r="B18">
        <v>1017</v>
      </c>
      <c r="C18">
        <v>37</v>
      </c>
      <c r="D18">
        <v>60</v>
      </c>
      <c r="E18" s="3">
        <v>1000000</v>
      </c>
      <c r="F18" s="2">
        <f t="shared" si="1"/>
        <v>12000000</v>
      </c>
      <c r="G18" s="5">
        <v>800000</v>
      </c>
      <c r="H18" s="1">
        <v>0.06</v>
      </c>
      <c r="I18" s="1">
        <v>0.1</v>
      </c>
      <c r="J18" s="1">
        <v>0.05</v>
      </c>
      <c r="K18" s="4">
        <f t="shared" si="2"/>
        <v>23</v>
      </c>
      <c r="L18" s="6">
        <f t="shared" si="0"/>
        <v>3055799.729258447</v>
      </c>
      <c r="M18" s="2">
        <v>77</v>
      </c>
      <c r="N18">
        <f t="shared" si="3"/>
        <v>17</v>
      </c>
      <c r="O18" s="7">
        <f t="shared" si="4"/>
        <v>-9.4339622641509413E-3</v>
      </c>
      <c r="P18" s="6">
        <f t="shared" si="5"/>
        <v>676442156.58609152</v>
      </c>
      <c r="Q18" s="6">
        <f t="shared" si="6"/>
        <v>8504095.3979385979</v>
      </c>
      <c r="R18" t="s">
        <v>35</v>
      </c>
    </row>
    <row r="19" spans="1:18" x14ac:dyDescent="0.3">
      <c r="A19" s="3" t="s">
        <v>12</v>
      </c>
      <c r="B19">
        <v>1018</v>
      </c>
      <c r="C19">
        <v>38</v>
      </c>
      <c r="D19">
        <v>60</v>
      </c>
      <c r="E19" s="3">
        <v>1000000</v>
      </c>
      <c r="F19" s="2">
        <f t="shared" si="1"/>
        <v>12000000</v>
      </c>
      <c r="G19" s="5">
        <v>800000</v>
      </c>
      <c r="H19" s="1">
        <v>0.06</v>
      </c>
      <c r="I19" s="1">
        <v>0.1</v>
      </c>
      <c r="J19" s="1">
        <v>0.05</v>
      </c>
      <c r="K19" s="4">
        <f t="shared" si="2"/>
        <v>22</v>
      </c>
      <c r="L19" s="6">
        <f t="shared" si="0"/>
        <v>2882829.9332626853</v>
      </c>
      <c r="M19" s="2">
        <v>78</v>
      </c>
      <c r="N19">
        <f t="shared" si="3"/>
        <v>18</v>
      </c>
      <c r="O19" s="7">
        <f t="shared" si="4"/>
        <v>-9.4339622641509413E-3</v>
      </c>
      <c r="P19" s="6">
        <f t="shared" si="5"/>
        <v>678975547.01882684</v>
      </c>
      <c r="Q19" s="6">
        <f t="shared" si="6"/>
        <v>9509086.385439992</v>
      </c>
      <c r="R19" t="s">
        <v>36</v>
      </c>
    </row>
    <row r="20" spans="1:18" x14ac:dyDescent="0.3">
      <c r="A20" s="3" t="s">
        <v>12</v>
      </c>
      <c r="B20">
        <v>1019</v>
      </c>
      <c r="C20">
        <v>39</v>
      </c>
      <c r="D20">
        <v>60</v>
      </c>
      <c r="E20" s="3">
        <v>1000000</v>
      </c>
      <c r="F20" s="2">
        <f t="shared" si="1"/>
        <v>12000000</v>
      </c>
      <c r="G20" s="5">
        <v>800000</v>
      </c>
      <c r="H20" s="1">
        <v>0.06</v>
      </c>
      <c r="I20" s="1">
        <v>0.1</v>
      </c>
      <c r="J20" s="1">
        <v>0.05</v>
      </c>
      <c r="K20" s="4">
        <f t="shared" si="2"/>
        <v>21</v>
      </c>
      <c r="L20" s="6">
        <f t="shared" si="0"/>
        <v>2719650.8804364959</v>
      </c>
      <c r="M20" s="2">
        <v>79</v>
      </c>
      <c r="N20">
        <f t="shared" si="3"/>
        <v>19</v>
      </c>
      <c r="O20" s="7">
        <f t="shared" si="4"/>
        <v>-9.4339622641509413E-3</v>
      </c>
      <c r="P20" s="6">
        <f t="shared" si="5"/>
        <v>679420008.87510943</v>
      </c>
      <c r="Q20" s="6">
        <f t="shared" si="6"/>
        <v>10615513.927934803</v>
      </c>
      <c r="R20" t="s">
        <v>37</v>
      </c>
    </row>
    <row r="21" spans="1:18" x14ac:dyDescent="0.3">
      <c r="A21" s="3" t="s">
        <v>12</v>
      </c>
      <c r="B21">
        <v>1020</v>
      </c>
      <c r="C21">
        <v>40</v>
      </c>
      <c r="D21">
        <v>60</v>
      </c>
      <c r="E21" s="3">
        <v>1000000</v>
      </c>
      <c r="F21" s="2">
        <f t="shared" si="1"/>
        <v>12000000</v>
      </c>
      <c r="G21" s="5">
        <v>800000</v>
      </c>
      <c r="H21" s="1">
        <v>0.06</v>
      </c>
      <c r="I21" s="1">
        <v>0.1</v>
      </c>
      <c r="J21" s="1">
        <v>0.05</v>
      </c>
      <c r="K21" s="4">
        <f t="shared" si="2"/>
        <v>20</v>
      </c>
      <c r="L21" s="6">
        <f t="shared" si="0"/>
        <v>2565708.3777702786</v>
      </c>
      <c r="M21" s="2">
        <v>80</v>
      </c>
      <c r="N21">
        <f t="shared" si="3"/>
        <v>20</v>
      </c>
      <c r="O21" s="7">
        <f t="shared" si="4"/>
        <v>-9.4339622641509413E-3</v>
      </c>
      <c r="P21" s="6">
        <f t="shared" si="5"/>
        <v>677986503.72879374</v>
      </c>
      <c r="Q21" s="6">
        <f t="shared" si="6"/>
        <v>11837380.559184968</v>
      </c>
      <c r="R21" t="s">
        <v>38</v>
      </c>
    </row>
    <row r="22" spans="1:18" x14ac:dyDescent="0.3">
      <c r="A22" s="3" t="s">
        <v>12</v>
      </c>
      <c r="B22">
        <v>1021</v>
      </c>
      <c r="C22">
        <v>41</v>
      </c>
      <c r="D22">
        <v>60</v>
      </c>
      <c r="E22" s="3">
        <v>1000000</v>
      </c>
      <c r="F22" s="2">
        <f t="shared" si="1"/>
        <v>12000000</v>
      </c>
      <c r="G22" s="5">
        <v>800000</v>
      </c>
      <c r="H22" s="1">
        <v>0.06</v>
      </c>
      <c r="I22" s="1">
        <v>0.1</v>
      </c>
      <c r="J22" s="1">
        <v>0.05</v>
      </c>
      <c r="K22" s="4">
        <f t="shared" si="2"/>
        <v>19</v>
      </c>
      <c r="L22" s="6">
        <f t="shared" si="0"/>
        <v>2420479.6016700738</v>
      </c>
      <c r="M22" s="2">
        <v>81</v>
      </c>
      <c r="N22">
        <f t="shared" si="3"/>
        <v>21</v>
      </c>
      <c r="O22" s="7">
        <f t="shared" si="4"/>
        <v>-9.4339622641509413E-3</v>
      </c>
      <c r="P22" s="6">
        <f t="shared" si="5"/>
        <v>674869633.05172157</v>
      </c>
      <c r="Q22" s="6">
        <f t="shared" si="6"/>
        <v>13191578.109536231</v>
      </c>
      <c r="R22" t="s">
        <v>39</v>
      </c>
    </row>
    <row r="23" spans="1:18" x14ac:dyDescent="0.3">
      <c r="A23" s="3" t="s">
        <v>12</v>
      </c>
      <c r="B23">
        <v>1022</v>
      </c>
      <c r="C23">
        <v>42</v>
      </c>
      <c r="D23">
        <v>60</v>
      </c>
      <c r="E23" s="3">
        <v>1000000</v>
      </c>
      <c r="F23" s="2">
        <f t="shared" si="1"/>
        <v>12000000</v>
      </c>
      <c r="G23" s="5">
        <v>800000</v>
      </c>
      <c r="H23" s="1">
        <v>0.06</v>
      </c>
      <c r="I23" s="1">
        <v>0.1</v>
      </c>
      <c r="J23" s="1">
        <v>0.05</v>
      </c>
      <c r="K23" s="4">
        <f t="shared" si="2"/>
        <v>18</v>
      </c>
      <c r="L23" s="6">
        <f t="shared" si="0"/>
        <v>2283471.3223302583</v>
      </c>
      <c r="M23" s="2">
        <v>82</v>
      </c>
      <c r="N23">
        <f t="shared" si="3"/>
        <v>22</v>
      </c>
      <c r="O23" s="7">
        <f t="shared" si="4"/>
        <v>-9.4339622641509413E-3</v>
      </c>
      <c r="P23" s="6">
        <f t="shared" si="5"/>
        <v>670248774.85296786</v>
      </c>
      <c r="Q23" s="6">
        <f t="shared" si="6"/>
        <v>14698694.578442611</v>
      </c>
      <c r="R23" t="s">
        <v>40</v>
      </c>
    </row>
    <row r="24" spans="1:18" x14ac:dyDescent="0.3">
      <c r="A24" s="3" t="s">
        <v>12</v>
      </c>
      <c r="B24">
        <v>1023</v>
      </c>
      <c r="C24">
        <v>43</v>
      </c>
      <c r="D24">
        <v>60</v>
      </c>
      <c r="E24" s="3">
        <v>1000000</v>
      </c>
      <c r="F24" s="2">
        <f t="shared" si="1"/>
        <v>12000000</v>
      </c>
      <c r="G24" s="5">
        <v>800000</v>
      </c>
      <c r="H24" s="1">
        <v>0.06</v>
      </c>
      <c r="I24" s="1">
        <v>0.1</v>
      </c>
      <c r="J24" s="1">
        <v>0.05</v>
      </c>
      <c r="K24" s="4">
        <f t="shared" si="2"/>
        <v>17</v>
      </c>
      <c r="L24" s="6">
        <f t="shared" si="0"/>
        <v>2154218.2286134511</v>
      </c>
      <c r="M24" s="2">
        <v>83</v>
      </c>
      <c r="N24">
        <f t="shared" si="3"/>
        <v>23</v>
      </c>
      <c r="O24" s="7">
        <f t="shared" si="4"/>
        <v>-9.4339622641509413E-3</v>
      </c>
      <c r="P24" s="6">
        <f t="shared" si="5"/>
        <v>664289145.94341469</v>
      </c>
      <c r="Q24" s="6">
        <f t="shared" si="6"/>
        <v>16384106.423992157</v>
      </c>
      <c r="R24" t="s">
        <v>41</v>
      </c>
    </row>
    <row r="25" spans="1:18" x14ac:dyDescent="0.3">
      <c r="A25" s="3" t="s">
        <v>12</v>
      </c>
      <c r="B25">
        <v>1024</v>
      </c>
      <c r="C25">
        <v>44</v>
      </c>
      <c r="D25">
        <v>60</v>
      </c>
      <c r="E25" s="3">
        <v>1000000</v>
      </c>
      <c r="F25" s="2">
        <f t="shared" si="1"/>
        <v>12000000</v>
      </c>
      <c r="G25" s="5">
        <v>800000</v>
      </c>
      <c r="H25" s="1">
        <v>0.06</v>
      </c>
      <c r="I25" s="1">
        <v>0.1</v>
      </c>
      <c r="J25" s="1">
        <v>0.05</v>
      </c>
      <c r="K25" s="4">
        <f t="shared" si="2"/>
        <v>16</v>
      </c>
      <c r="L25" s="6">
        <f t="shared" si="0"/>
        <v>2032281.3477485387</v>
      </c>
      <c r="M25" s="2">
        <v>84</v>
      </c>
      <c r="N25">
        <f t="shared" si="3"/>
        <v>24</v>
      </c>
      <c r="O25" s="7">
        <f t="shared" si="4"/>
        <v>-9.4339622641509413E-3</v>
      </c>
      <c r="P25" s="6">
        <f t="shared" si="5"/>
        <v>657142794.51386166</v>
      </c>
      <c r="Q25" s="6">
        <f t="shared" si="6"/>
        <v>18279481.126282752</v>
      </c>
      <c r="R25" t="s">
        <v>42</v>
      </c>
    </row>
    <row r="26" spans="1:18" x14ac:dyDescent="0.3">
      <c r="A26" s="3" t="s">
        <v>12</v>
      </c>
      <c r="B26">
        <v>1025</v>
      </c>
      <c r="C26">
        <v>45</v>
      </c>
      <c r="D26">
        <v>60</v>
      </c>
      <c r="E26" s="3">
        <v>1000000</v>
      </c>
      <c r="F26" s="2">
        <f t="shared" si="1"/>
        <v>12000000</v>
      </c>
      <c r="G26" s="5">
        <v>800000</v>
      </c>
      <c r="H26" s="1">
        <v>0.06</v>
      </c>
      <c r="I26" s="1">
        <v>0.1</v>
      </c>
      <c r="J26" s="1">
        <v>0.05</v>
      </c>
      <c r="K26" s="4">
        <f t="shared" si="2"/>
        <v>15</v>
      </c>
      <c r="L26" s="6">
        <f t="shared" si="0"/>
        <v>1917246.5544797538</v>
      </c>
      <c r="M26" s="2">
        <v>85</v>
      </c>
      <c r="N26">
        <f t="shared" si="3"/>
        <v>25</v>
      </c>
      <c r="O26" s="7">
        <f t="shared" si="4"/>
        <v>-9.4339622641509413E-3</v>
      </c>
      <c r="P26" s="6">
        <f t="shared" si="5"/>
        <v>648949527.42672276</v>
      </c>
      <c r="Q26" s="6">
        <f t="shared" si="6"/>
        <v>20424881.462123275</v>
      </c>
      <c r="R26" t="s">
        <v>43</v>
      </c>
    </row>
    <row r="27" spans="1:18" x14ac:dyDescent="0.3">
      <c r="A27" s="3" t="s">
        <v>12</v>
      </c>
      <c r="B27">
        <v>1026</v>
      </c>
      <c r="C27">
        <v>46</v>
      </c>
      <c r="D27">
        <v>60</v>
      </c>
      <c r="E27" s="3">
        <v>1000000</v>
      </c>
      <c r="F27" s="2">
        <f t="shared" si="1"/>
        <v>12000000</v>
      </c>
      <c r="G27" s="5">
        <v>800000</v>
      </c>
      <c r="H27" s="1">
        <v>0.06</v>
      </c>
      <c r="I27" s="1">
        <v>0.1</v>
      </c>
      <c r="J27" s="1">
        <v>0.05</v>
      </c>
      <c r="K27" s="4">
        <f t="shared" si="2"/>
        <v>14</v>
      </c>
      <c r="L27" s="6">
        <f t="shared" si="0"/>
        <v>1808723.1646035409</v>
      </c>
      <c r="M27" s="2">
        <v>86</v>
      </c>
      <c r="N27">
        <f t="shared" si="3"/>
        <v>26</v>
      </c>
      <c r="O27" s="7">
        <f t="shared" si="4"/>
        <v>-9.4339622641509413E-3</v>
      </c>
      <c r="P27" s="6">
        <f t="shared" si="5"/>
        <v>639837776.35057628</v>
      </c>
      <c r="Q27" s="6">
        <f t="shared" si="6"/>
        <v>22871772.310646702</v>
      </c>
      <c r="R27" t="s">
        <v>44</v>
      </c>
    </row>
    <row r="28" spans="1:18" x14ac:dyDescent="0.3">
      <c r="A28" s="3" t="s">
        <v>12</v>
      </c>
      <c r="B28">
        <v>1027</v>
      </c>
      <c r="C28">
        <v>47</v>
      </c>
      <c r="D28">
        <v>60</v>
      </c>
      <c r="E28" s="3">
        <v>1000000</v>
      </c>
      <c r="F28" s="2">
        <f t="shared" si="1"/>
        <v>12000000</v>
      </c>
      <c r="G28" s="5">
        <v>800000</v>
      </c>
      <c r="H28" s="1">
        <v>0.06</v>
      </c>
      <c r="I28" s="1">
        <v>0.1</v>
      </c>
      <c r="J28" s="1">
        <v>0.05</v>
      </c>
      <c r="K28" s="4">
        <f t="shared" si="2"/>
        <v>13</v>
      </c>
      <c r="L28" s="6">
        <f t="shared" si="0"/>
        <v>1706342.608116548</v>
      </c>
      <c r="M28" s="2">
        <v>87</v>
      </c>
      <c r="N28">
        <f t="shared" si="3"/>
        <v>27</v>
      </c>
      <c r="O28" s="7">
        <f t="shared" si="4"/>
        <v>-9.4339622641509413E-3</v>
      </c>
      <c r="P28" s="6">
        <f t="shared" si="5"/>
        <v>629925406.61245835</v>
      </c>
      <c r="Q28" s="6">
        <f t="shared" si="6"/>
        <v>25687415.91744205</v>
      </c>
      <c r="R28" t="s">
        <v>45</v>
      </c>
    </row>
    <row r="29" spans="1:18" x14ac:dyDescent="0.3">
      <c r="A29" s="3" t="s">
        <v>12</v>
      </c>
      <c r="B29">
        <v>1028</v>
      </c>
      <c r="C29">
        <v>48</v>
      </c>
      <c r="D29">
        <v>60</v>
      </c>
      <c r="E29" s="3">
        <v>1000000</v>
      </c>
      <c r="F29" s="2">
        <f t="shared" si="1"/>
        <v>12000000</v>
      </c>
      <c r="G29" s="5">
        <v>800000</v>
      </c>
      <c r="H29" s="1">
        <v>0.06</v>
      </c>
      <c r="I29" s="1">
        <v>0.1</v>
      </c>
      <c r="J29" s="1">
        <v>0.05</v>
      </c>
      <c r="K29" s="4">
        <f t="shared" si="2"/>
        <v>12</v>
      </c>
      <c r="L29" s="6">
        <f t="shared" si="0"/>
        <v>1609757.1774684414</v>
      </c>
      <c r="M29" s="2">
        <v>88</v>
      </c>
      <c r="N29">
        <f t="shared" si="3"/>
        <v>28</v>
      </c>
      <c r="O29" s="7">
        <f t="shared" si="4"/>
        <v>-9.4339622641509413E-3</v>
      </c>
      <c r="P29" s="6">
        <f t="shared" si="5"/>
        <v>619320472.40372336</v>
      </c>
      <c r="Q29" s="6">
        <f t="shared" si="6"/>
        <v>28961465.483902395</v>
      </c>
      <c r="R29" t="s">
        <v>46</v>
      </c>
    </row>
    <row r="30" spans="1:18" x14ac:dyDescent="0.3">
      <c r="A30" s="3" t="s">
        <v>12</v>
      </c>
      <c r="B30">
        <v>1029</v>
      </c>
      <c r="C30">
        <v>49</v>
      </c>
      <c r="D30">
        <v>60</v>
      </c>
      <c r="E30" s="3">
        <v>1000000</v>
      </c>
      <c r="F30" s="2">
        <f t="shared" si="1"/>
        <v>12000000</v>
      </c>
      <c r="G30" s="5">
        <v>800000</v>
      </c>
      <c r="H30" s="1">
        <v>0.06</v>
      </c>
      <c r="I30" s="1">
        <v>0.1</v>
      </c>
      <c r="J30" s="1">
        <v>0.05</v>
      </c>
      <c r="K30" s="4">
        <f t="shared" si="2"/>
        <v>11</v>
      </c>
      <c r="L30" s="6">
        <f t="shared" si="0"/>
        <v>1518638.846668341</v>
      </c>
      <c r="M30" s="2">
        <v>89</v>
      </c>
      <c r="N30">
        <f t="shared" si="3"/>
        <v>29</v>
      </c>
      <c r="O30" s="7">
        <f t="shared" si="4"/>
        <v>-9.4339622641509413E-3</v>
      </c>
      <c r="P30" s="6">
        <f t="shared" si="5"/>
        <v>608121921.75078833</v>
      </c>
      <c r="Q30" s="6">
        <f t="shared" si="6"/>
        <v>32816155.928999748</v>
      </c>
      <c r="R30" t="s">
        <v>47</v>
      </c>
    </row>
    <row r="31" spans="1:18" x14ac:dyDescent="0.3">
      <c r="A31" s="3" t="s">
        <v>12</v>
      </c>
      <c r="B31">
        <v>1030</v>
      </c>
      <c r="C31">
        <v>50</v>
      </c>
      <c r="D31">
        <v>60</v>
      </c>
      <c r="E31" s="3">
        <v>1000000</v>
      </c>
      <c r="F31" s="2">
        <f t="shared" si="1"/>
        <v>12000000</v>
      </c>
      <c r="G31" s="5">
        <v>800000</v>
      </c>
      <c r="H31" s="1">
        <v>0.06</v>
      </c>
      <c r="I31" s="1">
        <v>0.1</v>
      </c>
      <c r="J31" s="1">
        <v>0.05</v>
      </c>
      <c r="K31" s="4">
        <f t="shared" si="2"/>
        <v>10</v>
      </c>
      <c r="L31" s="6">
        <f t="shared" si="0"/>
        <v>1432678.1572342836</v>
      </c>
      <c r="M31" s="2">
        <v>90</v>
      </c>
      <c r="N31">
        <f t="shared" si="3"/>
        <v>30</v>
      </c>
      <c r="O31" s="7">
        <f t="shared" si="4"/>
        <v>-9.4339622641509413E-3</v>
      </c>
      <c r="P31" s="6">
        <f t="shared" si="5"/>
        <v>596420254.45109022</v>
      </c>
      <c r="Q31" s="6">
        <f t="shared" si="6"/>
        <v>37422609.73437617</v>
      </c>
      <c r="R31" t="s">
        <v>48</v>
      </c>
    </row>
    <row r="32" spans="1:18" x14ac:dyDescent="0.3">
      <c r="A32" s="3" t="s">
        <v>12</v>
      </c>
      <c r="B32">
        <v>1031</v>
      </c>
      <c r="C32">
        <v>51</v>
      </c>
      <c r="D32">
        <v>60</v>
      </c>
      <c r="E32" s="3">
        <v>1000000</v>
      </c>
      <c r="F32" s="2">
        <f t="shared" si="1"/>
        <v>12000000</v>
      </c>
      <c r="G32" s="5">
        <v>800000</v>
      </c>
      <c r="H32" s="1">
        <v>0.06</v>
      </c>
      <c r="I32" s="1">
        <v>0.1</v>
      </c>
      <c r="J32" s="1">
        <v>0.05</v>
      </c>
      <c r="K32" s="4">
        <f t="shared" si="2"/>
        <v>9</v>
      </c>
      <c r="L32" s="6">
        <f t="shared" si="0"/>
        <v>1351583.1672021542</v>
      </c>
      <c r="M32" s="2">
        <v>91</v>
      </c>
      <c r="N32">
        <f t="shared" si="3"/>
        <v>31</v>
      </c>
      <c r="O32" s="7">
        <f t="shared" si="4"/>
        <v>-9.4339622641509413E-3</v>
      </c>
      <c r="P32" s="6">
        <f t="shared" si="5"/>
        <v>584298135.97644579</v>
      </c>
      <c r="Q32" s="6">
        <f t="shared" si="6"/>
        <v>43028013.912150472</v>
      </c>
      <c r="R32" t="s">
        <v>49</v>
      </c>
    </row>
    <row r="33" spans="1:18" x14ac:dyDescent="0.3">
      <c r="A33" s="3" t="s">
        <v>12</v>
      </c>
      <c r="B33">
        <v>1032</v>
      </c>
      <c r="C33">
        <v>52</v>
      </c>
      <c r="D33">
        <v>60</v>
      </c>
      <c r="E33" s="3">
        <v>1000000</v>
      </c>
      <c r="F33" s="2">
        <f t="shared" si="1"/>
        <v>12000000</v>
      </c>
      <c r="G33" s="5">
        <v>800000</v>
      </c>
      <c r="H33" s="1">
        <v>0.06</v>
      </c>
      <c r="I33" s="1">
        <v>0.1</v>
      </c>
      <c r="J33" s="1">
        <v>0.05</v>
      </c>
      <c r="K33" s="4">
        <f t="shared" si="2"/>
        <v>8</v>
      </c>
      <c r="L33" s="6">
        <f t="shared" si="0"/>
        <v>1275078.4596246739</v>
      </c>
      <c r="M33" s="2">
        <v>92</v>
      </c>
      <c r="N33">
        <f t="shared" si="3"/>
        <v>32</v>
      </c>
      <c r="O33" s="7">
        <f t="shared" si="4"/>
        <v>-9.4339622641509413E-3</v>
      </c>
      <c r="P33" s="6">
        <f t="shared" si="5"/>
        <v>571830970.15987277</v>
      </c>
      <c r="Q33" s="6">
        <f t="shared" si="6"/>
        <v>50003180.159632936</v>
      </c>
      <c r="R33" t="s">
        <v>50</v>
      </c>
    </row>
    <row r="34" spans="1:18" x14ac:dyDescent="0.3">
      <c r="A34" s="3" t="s">
        <v>12</v>
      </c>
      <c r="B34">
        <v>1033</v>
      </c>
      <c r="C34">
        <v>53</v>
      </c>
      <c r="D34">
        <v>60</v>
      </c>
      <c r="E34" s="3">
        <v>1000000</v>
      </c>
      <c r="F34" s="2">
        <f t="shared" si="1"/>
        <v>12000000</v>
      </c>
      <c r="G34" s="5">
        <v>800000</v>
      </c>
      <c r="H34" s="1">
        <v>0.06</v>
      </c>
      <c r="I34" s="1">
        <v>0.1</v>
      </c>
      <c r="J34" s="1">
        <v>0.05</v>
      </c>
      <c r="K34" s="4">
        <f t="shared" si="2"/>
        <v>7</v>
      </c>
      <c r="L34" s="6">
        <f t="shared" si="0"/>
        <v>1202904.2071930887</v>
      </c>
      <c r="M34" s="2">
        <v>93</v>
      </c>
      <c r="N34">
        <f t="shared" si="3"/>
        <v>33</v>
      </c>
      <c r="O34" s="7">
        <f t="shared" si="4"/>
        <v>-9.4339622641509413E-3</v>
      </c>
      <c r="P34" s="6">
        <f t="shared" si="5"/>
        <v>559087433.30709958</v>
      </c>
      <c r="Q34" s="6">
        <f t="shared" si="6"/>
        <v>58930871.181346826</v>
      </c>
      <c r="R34" t="s">
        <v>51</v>
      </c>
    </row>
    <row r="35" spans="1:18" x14ac:dyDescent="0.3">
      <c r="A35" s="3" t="s">
        <v>12</v>
      </c>
      <c r="B35">
        <v>1034</v>
      </c>
      <c r="C35">
        <v>54</v>
      </c>
      <c r="D35">
        <v>60</v>
      </c>
      <c r="E35" s="3">
        <v>1000000</v>
      </c>
      <c r="F35" s="2">
        <f t="shared" si="1"/>
        <v>12000000</v>
      </c>
      <c r="G35" s="5">
        <v>800000</v>
      </c>
      <c r="H35" s="1">
        <v>0.06</v>
      </c>
      <c r="I35" s="1">
        <v>0.1</v>
      </c>
      <c r="J35" s="1">
        <v>0.05</v>
      </c>
      <c r="K35" s="4">
        <f t="shared" si="2"/>
        <v>6</v>
      </c>
      <c r="L35" s="6">
        <f t="shared" si="0"/>
        <v>1134815.2898048004</v>
      </c>
      <c r="M35" s="2">
        <v>94</v>
      </c>
      <c r="N35">
        <f t="shared" si="3"/>
        <v>34</v>
      </c>
      <c r="O35" s="7">
        <f t="shared" si="4"/>
        <v>-9.4339622641509413E-3</v>
      </c>
      <c r="P35" s="6">
        <f t="shared" si="5"/>
        <v>546129972.20980167</v>
      </c>
      <c r="Q35" s="6">
        <f t="shared" si="6"/>
        <v>70782453.452554986</v>
      </c>
      <c r="R35" t="s">
        <v>52</v>
      </c>
    </row>
    <row r="36" spans="1:18" x14ac:dyDescent="0.3">
      <c r="A36" s="3" t="s">
        <v>12</v>
      </c>
      <c r="B36">
        <v>1035</v>
      </c>
      <c r="C36">
        <v>55</v>
      </c>
      <c r="D36">
        <v>60</v>
      </c>
      <c r="E36" s="3">
        <v>1000000</v>
      </c>
      <c r="F36" s="2">
        <f t="shared" si="1"/>
        <v>12000000</v>
      </c>
      <c r="G36" s="5">
        <v>800000</v>
      </c>
      <c r="H36" s="1">
        <v>0.06</v>
      </c>
      <c r="I36" s="1">
        <v>0.1</v>
      </c>
      <c r="J36" s="1">
        <v>0.05</v>
      </c>
      <c r="K36" s="4">
        <f t="shared" si="2"/>
        <v>5</v>
      </c>
      <c r="L36" s="6">
        <f t="shared" si="0"/>
        <v>1070580.4620800004</v>
      </c>
      <c r="M36" s="2">
        <v>95</v>
      </c>
      <c r="N36">
        <f t="shared" si="3"/>
        <v>35</v>
      </c>
      <c r="O36" s="7">
        <f t="shared" si="4"/>
        <v>-9.4339622641509413E-3</v>
      </c>
      <c r="P36" s="6">
        <f t="shared" si="5"/>
        <v>533015268.38340932</v>
      </c>
      <c r="Q36" s="6">
        <f t="shared" si="6"/>
        <v>87306533.125576884</v>
      </c>
      <c r="R36" t="s">
        <v>53</v>
      </c>
    </row>
    <row r="37" spans="1:18" x14ac:dyDescent="0.3">
      <c r="L37" s="6"/>
      <c r="M37" s="6"/>
    </row>
    <row r="38" spans="1:18" x14ac:dyDescent="0.3">
      <c r="L38" s="6"/>
      <c r="M38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2026-01-14T08:21:28Z</dcterms:created>
  <dcterms:modified xsi:type="dcterms:W3CDTF">2026-01-18T06:54:05Z</dcterms:modified>
</cp:coreProperties>
</file>