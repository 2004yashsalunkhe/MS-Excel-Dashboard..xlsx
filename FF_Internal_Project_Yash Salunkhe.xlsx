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YASH ITM MBA\Approved Excel Projects\"/>
    </mc:Choice>
  </mc:AlternateContent>
  <bookViews>
    <workbookView xWindow="0" yWindow="0" windowWidth="23040" windowHeight="8616"/>
  </bookViews>
  <sheets>
    <sheet name="Step_by_Step" sheetId="1" r:id="rId1"/>
  </sheets>
  <calcPr calcId="162913"/>
</workbook>
</file>

<file path=xl/calcChain.xml><?xml version="1.0" encoding="utf-8"?>
<calcChain xmlns="http://schemas.openxmlformats.org/spreadsheetml/2006/main">
  <c r="B24" i="1" l="1"/>
  <c r="B22" i="1"/>
  <c r="D17" i="1"/>
  <c r="C17" i="1"/>
  <c r="B17" i="1"/>
  <c r="C16" i="1"/>
  <c r="B16" i="1"/>
  <c r="D16" i="1" s="1"/>
  <c r="D15" i="1"/>
  <c r="C15" i="1"/>
  <c r="B15" i="1"/>
  <c r="C14" i="1"/>
  <c r="B14" i="1"/>
  <c r="D14" i="1" s="1"/>
  <c r="D13" i="1"/>
  <c r="C13" i="1"/>
  <c r="B13" i="1"/>
  <c r="C12" i="1"/>
  <c r="B12" i="1"/>
  <c r="D12" i="1" s="1"/>
  <c r="B20" i="1" s="1"/>
  <c r="D11" i="1"/>
  <c r="C11" i="1"/>
  <c r="B11" i="1"/>
  <c r="C10" i="1"/>
  <c r="B10" i="1"/>
  <c r="D10" i="1" s="1"/>
  <c r="E10" i="1" s="1"/>
  <c r="B23" i="1" l="1"/>
  <c r="B21" i="1"/>
  <c r="E11" i="1"/>
  <c r="E12" i="1" s="1"/>
  <c r="E13" i="1" s="1"/>
  <c r="E14" i="1" s="1"/>
  <c r="E15" i="1" s="1"/>
  <c r="E16" i="1" s="1"/>
  <c r="E17" i="1" s="1"/>
</calcChain>
</file>

<file path=xl/sharedStrings.xml><?xml version="1.0" encoding="utf-8"?>
<sst xmlns="http://schemas.openxmlformats.org/spreadsheetml/2006/main" count="19" uniqueCount="19">
  <si>
    <t>Capital Budgeting - Project 1 (Step-by-Step)</t>
  </si>
  <si>
    <t>Cash Inflow (each year)</t>
  </si>
  <si>
    <t>Initial Cost (outflow)</t>
  </si>
  <si>
    <t>Project Life (years)</t>
  </si>
  <si>
    <t>Discount Rate</t>
  </si>
  <si>
    <t>Year</t>
  </si>
  <si>
    <t>Cash Flow</t>
  </si>
  <si>
    <t>Discount Factor (1/(1+r)^t)</t>
  </si>
  <si>
    <t>Present Value (PV)</t>
  </si>
  <si>
    <t>Cumulative PV</t>
  </si>
  <si>
    <t>Summary (Step-by-Step)</t>
  </si>
  <si>
    <t>PV of inflows (years 1..n)</t>
  </si>
  <si>
    <t>NPV</t>
  </si>
  <si>
    <t>IRR</t>
  </si>
  <si>
    <t>BCR (PV inflows / Cost)</t>
  </si>
  <si>
    <t>Discounted Payback (years)</t>
  </si>
  <si>
    <t>Notes:</t>
  </si>
  <si>
    <t>- Year-by-year PVs are manually calculated using discount factors.</t>
  </si>
  <si>
    <t>- Discounted Payback uses interpolation between years for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</si>
</sst>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\₹\ * #,##0_-;_-\₹\ * \(#,##0\)_-;_-\₹\ * &quot;-&quot;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10" fontId="0" fillId="0" borderId="0" xfId="0" applyNumberFormat="1"/>
    <xf numFmtId="2" fontId="0" fillId="0" borderId="0" xfId="0" applyNumberFormat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C21" sqref="C21"/>
    </sheetView>
  </sheetViews>
  <sheetFormatPr defaultRowHeight="14.4" x14ac:dyDescent="0.3"/>
  <cols>
    <col min="1" max="1" width="24.77734375" style="1" customWidth="1"/>
    <col min="2" max="2" width="18.6640625" style="2" customWidth="1"/>
    <col min="3" max="3" width="22.6640625" customWidth="1"/>
    <col min="4" max="5" width="20.6640625" style="2" customWidth="1"/>
  </cols>
  <sheetData>
    <row r="1" spans="1:5" x14ac:dyDescent="0.3">
      <c r="A1" s="3" t="s">
        <v>0</v>
      </c>
    </row>
    <row r="3" spans="1:5" x14ac:dyDescent="0.3">
      <c r="A3" s="3" t="s">
        <v>1</v>
      </c>
      <c r="B3" s="2">
        <v>47000</v>
      </c>
    </row>
    <row r="4" spans="1:5" x14ac:dyDescent="0.3">
      <c r="A4" s="3" t="s">
        <v>2</v>
      </c>
      <c r="B4" s="2">
        <v>-170000</v>
      </c>
    </row>
    <row r="5" spans="1:5" x14ac:dyDescent="0.3">
      <c r="A5" s="3" t="s">
        <v>3</v>
      </c>
      <c r="B5" s="2">
        <v>7</v>
      </c>
    </row>
    <row r="6" spans="1:5" x14ac:dyDescent="0.3">
      <c r="A6" s="3" t="s">
        <v>4</v>
      </c>
      <c r="B6" s="4">
        <v>0.11</v>
      </c>
    </row>
    <row r="9" spans="1:5" x14ac:dyDescent="0.3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</row>
    <row r="10" spans="1:5" x14ac:dyDescent="0.3">
      <c r="A10" s="7">
        <v>0</v>
      </c>
      <c r="B10" s="8">
        <f>B4</f>
        <v>-170000</v>
      </c>
      <c r="C10" s="9">
        <f t="shared" ref="C10:C17" si="0">1/(1+$B$6)^A10</f>
        <v>1</v>
      </c>
      <c r="D10" s="8">
        <f t="shared" ref="D10:D17" si="1">B10*C10</f>
        <v>-170000</v>
      </c>
      <c r="E10" s="8">
        <f>D10</f>
        <v>-170000</v>
      </c>
    </row>
    <row r="11" spans="1:5" x14ac:dyDescent="0.3">
      <c r="A11" s="7">
        <v>1</v>
      </c>
      <c r="B11" s="8">
        <f>B3</f>
        <v>47000</v>
      </c>
      <c r="C11" s="9">
        <f t="shared" si="0"/>
        <v>0.9009009009009008</v>
      </c>
      <c r="D11" s="8">
        <f t="shared" si="1"/>
        <v>42342.342342342337</v>
      </c>
      <c r="E11" s="8">
        <f t="shared" ref="E11:E17" si="2">E10+D11</f>
        <v>-127657.65765765766</v>
      </c>
    </row>
    <row r="12" spans="1:5" x14ac:dyDescent="0.3">
      <c r="A12" s="7">
        <v>2</v>
      </c>
      <c r="B12" s="8">
        <f>B3</f>
        <v>47000</v>
      </c>
      <c r="C12" s="9">
        <f t="shared" si="0"/>
        <v>0.8116224332440547</v>
      </c>
      <c r="D12" s="8">
        <f t="shared" si="1"/>
        <v>38146.254362470572</v>
      </c>
      <c r="E12" s="8">
        <f t="shared" si="2"/>
        <v>-89511.40329518709</v>
      </c>
    </row>
    <row r="13" spans="1:5" x14ac:dyDescent="0.3">
      <c r="A13" s="7">
        <v>3</v>
      </c>
      <c r="B13" s="8">
        <f>B3</f>
        <v>47000</v>
      </c>
      <c r="C13" s="9">
        <f t="shared" si="0"/>
        <v>0.73119138130095018</v>
      </c>
      <c r="D13" s="8">
        <f t="shared" si="1"/>
        <v>34365.994921144658</v>
      </c>
      <c r="E13" s="8">
        <f t="shared" si="2"/>
        <v>-55145.408374042432</v>
      </c>
    </row>
    <row r="14" spans="1:5" x14ac:dyDescent="0.3">
      <c r="A14" s="7">
        <v>4</v>
      </c>
      <c r="B14" s="8">
        <f>B3</f>
        <v>47000</v>
      </c>
      <c r="C14" s="9">
        <f t="shared" si="0"/>
        <v>0.65873097414500015</v>
      </c>
      <c r="D14" s="8">
        <f t="shared" si="1"/>
        <v>30960.355784815009</v>
      </c>
      <c r="E14" s="8">
        <f t="shared" si="2"/>
        <v>-24185.052589227424</v>
      </c>
    </row>
    <row r="15" spans="1:5" x14ac:dyDescent="0.3">
      <c r="A15" s="7">
        <v>5</v>
      </c>
      <c r="B15" s="8">
        <f>B3</f>
        <v>47000</v>
      </c>
      <c r="C15" s="9">
        <f t="shared" si="0"/>
        <v>0.5934513280585586</v>
      </c>
      <c r="D15" s="8">
        <f t="shared" si="1"/>
        <v>27892.212418752253</v>
      </c>
      <c r="E15" s="8">
        <f t="shared" si="2"/>
        <v>3707.1598295248295</v>
      </c>
    </row>
    <row r="16" spans="1:5" x14ac:dyDescent="0.3">
      <c r="A16" s="7">
        <v>6</v>
      </c>
      <c r="B16" s="8">
        <f>B3</f>
        <v>47000</v>
      </c>
      <c r="C16" s="9">
        <f t="shared" si="0"/>
        <v>0.53464083608879154</v>
      </c>
      <c r="D16" s="8">
        <f t="shared" si="1"/>
        <v>25128.119296173201</v>
      </c>
      <c r="E16" s="8">
        <f t="shared" si="2"/>
        <v>28835.279125698031</v>
      </c>
    </row>
    <row r="17" spans="1:5" x14ac:dyDescent="0.3">
      <c r="A17" s="7">
        <v>7</v>
      </c>
      <c r="B17" s="8">
        <f>B3</f>
        <v>47000</v>
      </c>
      <c r="C17" s="9">
        <f t="shared" si="0"/>
        <v>0.48165841089080319</v>
      </c>
      <c r="D17" s="8">
        <f t="shared" si="1"/>
        <v>22637.945311867748</v>
      </c>
      <c r="E17" s="8">
        <f t="shared" si="2"/>
        <v>51473.224437565776</v>
      </c>
    </row>
    <row r="19" spans="1:5" x14ac:dyDescent="0.3">
      <c r="A19" s="3" t="s">
        <v>10</v>
      </c>
    </row>
    <row r="20" spans="1:5" x14ac:dyDescent="0.3">
      <c r="A20" s="3" t="s">
        <v>11</v>
      </c>
      <c r="B20" s="2">
        <f>SUM(D11:D17)</f>
        <v>221473.22443756578</v>
      </c>
    </row>
    <row r="21" spans="1:5" x14ac:dyDescent="0.3">
      <c r="A21" s="3" t="s">
        <v>12</v>
      </c>
      <c r="B21" s="2">
        <f>B20+B4</f>
        <v>51473.224437565776</v>
      </c>
    </row>
    <row r="22" spans="1:5" x14ac:dyDescent="0.3">
      <c r="A22" s="3" t="s">
        <v>13</v>
      </c>
      <c r="B22" s="4">
        <f>IRR(B10:B17)</f>
        <v>0.19874589858128799</v>
      </c>
    </row>
    <row r="23" spans="1:5" x14ac:dyDescent="0.3">
      <c r="A23" s="3" t="s">
        <v>14</v>
      </c>
      <c r="B23" s="2">
        <f>B20/ABS(B4)</f>
        <v>1.3027836731621516</v>
      </c>
    </row>
    <row r="24" spans="1:5" x14ac:dyDescent="0.3">
      <c r="A24" s="3" t="s">
        <v>15</v>
      </c>
      <c r="B24" s="5">
        <f>4-E14/D15</f>
        <v>4.8670897892978733</v>
      </c>
    </row>
    <row r="26" spans="1:5" x14ac:dyDescent="0.3">
      <c r="A26" s="3" t="s">
        <v>16</v>
      </c>
    </row>
    <row r="27" spans="1:5" x14ac:dyDescent="0.3">
      <c r="A27" s="1" t="s">
        <v>17</v>
      </c>
    </row>
    <row r="28" spans="1:5" x14ac:dyDescent="0.3">
      <c r="A28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Step_by_Step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2025-10-14T14:39:00Z</dcterms:created>
  <dcterms:modified xsi:type="dcterms:W3CDTF">2026-09-11T12:18:46Z</dcterms:modified>
</cp:coreProperties>
</file>