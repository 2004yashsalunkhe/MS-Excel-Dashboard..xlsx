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TM ALL\"/>
    </mc:Choice>
  </mc:AlternateContent>
  <xr:revisionPtr revIDLastSave="0" documentId="13_ncr:1_{29F57855-855A-4F2F-99FF-873BC25B2988}" xr6:coauthVersionLast="47" xr6:coauthVersionMax="47" xr10:uidLastSave="{00000000-0000-0000-0000-000000000000}"/>
  <bookViews>
    <workbookView xWindow="20370" yWindow="-120" windowWidth="29040" windowHeight="15720" activeTab="2" xr2:uid="{64D7455C-97C7-47FA-BC24-8F5DBDBEF3BF}"/>
  </bookViews>
  <sheets>
    <sheet name="TITANComparitive &amp; Common Size " sheetId="1" r:id="rId1"/>
    <sheet name="TITAN Trend Anaylasis" sheetId="3" r:id="rId2"/>
    <sheet name="TATA Comparitive &amp; Common Size " sheetId="2" r:id="rId3"/>
    <sheet name="TATA Trend Anayalasis" sheetId="4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8" i="1" l="1"/>
  <c r="G29" i="1"/>
  <c r="G30" i="1"/>
  <c r="G31" i="1"/>
  <c r="F28" i="1"/>
  <c r="F29" i="1"/>
  <c r="F30" i="1"/>
  <c r="F31" i="1"/>
  <c r="G27" i="1"/>
  <c r="F27" i="1"/>
  <c r="G22" i="1"/>
  <c r="G23" i="1"/>
  <c r="G24" i="1"/>
  <c r="G25" i="1"/>
  <c r="F22" i="1"/>
  <c r="F23" i="1"/>
  <c r="F24" i="1"/>
  <c r="F25" i="1"/>
  <c r="G21" i="1"/>
  <c r="F21" i="1"/>
  <c r="F6" i="1"/>
  <c r="E31" i="1"/>
  <c r="E27" i="1"/>
  <c r="D28" i="1"/>
  <c r="E28" i="1" s="1"/>
  <c r="D29" i="1"/>
  <c r="E29" i="1" s="1"/>
  <c r="D30" i="1"/>
  <c r="E30" i="1" s="1"/>
  <c r="D31" i="1"/>
  <c r="D27" i="1"/>
  <c r="D22" i="1"/>
  <c r="E22" i="1" s="1"/>
  <c r="D23" i="1"/>
  <c r="E23" i="1" s="1"/>
  <c r="D24" i="1"/>
  <c r="E24" i="1" s="1"/>
  <c r="D25" i="1"/>
  <c r="E25" i="1" s="1"/>
  <c r="D21" i="1"/>
  <c r="E21" i="1" s="1"/>
  <c r="A1" i="3"/>
  <c r="O29" i="3"/>
  <c r="N29" i="3"/>
  <c r="M29" i="3"/>
  <c r="L29" i="3"/>
  <c r="K29" i="3"/>
  <c r="O28" i="3"/>
  <c r="N28" i="3"/>
  <c r="M28" i="3"/>
  <c r="L28" i="3"/>
  <c r="K28" i="3"/>
  <c r="O27" i="3"/>
  <c r="N27" i="3"/>
  <c r="M27" i="3"/>
  <c r="L27" i="3"/>
  <c r="K27" i="3"/>
  <c r="O26" i="3"/>
  <c r="N26" i="3"/>
  <c r="M26" i="3"/>
  <c r="L26" i="3"/>
  <c r="K26" i="3"/>
  <c r="O25" i="3"/>
  <c r="N25" i="3"/>
  <c r="M25" i="3"/>
  <c r="L25" i="3"/>
  <c r="K25" i="3"/>
  <c r="O23" i="3"/>
  <c r="N23" i="3"/>
  <c r="M23" i="3"/>
  <c r="L23" i="3"/>
  <c r="K23" i="3"/>
  <c r="O22" i="3"/>
  <c r="N22" i="3"/>
  <c r="M22" i="3"/>
  <c r="L22" i="3"/>
  <c r="K22" i="3"/>
  <c r="O21" i="3"/>
  <c r="N21" i="3"/>
  <c r="M21" i="3"/>
  <c r="L21" i="3"/>
  <c r="K21" i="3"/>
  <c r="O20" i="3"/>
  <c r="N20" i="3"/>
  <c r="M20" i="3"/>
  <c r="L20" i="3"/>
  <c r="K20" i="3"/>
  <c r="K19" i="3"/>
  <c r="O19" i="3"/>
  <c r="N19" i="3"/>
  <c r="M19" i="3"/>
  <c r="L19" i="3"/>
  <c r="J19" i="3"/>
  <c r="J29" i="3"/>
  <c r="J28" i="3"/>
  <c r="J27" i="3"/>
  <c r="J26" i="3"/>
  <c r="J25" i="3"/>
  <c r="J23" i="3"/>
  <c r="J22" i="3"/>
  <c r="J21" i="3"/>
  <c r="J20" i="3"/>
  <c r="A1" i="4"/>
  <c r="M29" i="4"/>
  <c r="N29" i="4"/>
  <c r="O29" i="4"/>
  <c r="P29" i="4"/>
  <c r="Q29" i="4"/>
  <c r="L29" i="4"/>
  <c r="M28" i="4"/>
  <c r="N28" i="4"/>
  <c r="O28" i="4"/>
  <c r="P28" i="4"/>
  <c r="Q28" i="4"/>
  <c r="L28" i="4"/>
  <c r="M27" i="4"/>
  <c r="N27" i="4"/>
  <c r="O27" i="4"/>
  <c r="P27" i="4"/>
  <c r="Q27" i="4"/>
  <c r="L27" i="4"/>
  <c r="M26" i="4"/>
  <c r="N26" i="4"/>
  <c r="O26" i="4"/>
  <c r="P26" i="4"/>
  <c r="Q26" i="4"/>
  <c r="L26" i="4"/>
  <c r="M25" i="4"/>
  <c r="N25" i="4"/>
  <c r="O25" i="4"/>
  <c r="P25" i="4"/>
  <c r="Q25" i="4"/>
  <c r="L25" i="4"/>
  <c r="M23" i="4"/>
  <c r="N23" i="4"/>
  <c r="O23" i="4"/>
  <c r="P23" i="4"/>
  <c r="Q23" i="4"/>
  <c r="L23" i="4"/>
  <c r="M22" i="4"/>
  <c r="N22" i="4"/>
  <c r="O22" i="4"/>
  <c r="P22" i="4"/>
  <c r="Q22" i="4"/>
  <c r="L22" i="4"/>
  <c r="M21" i="4"/>
  <c r="N21" i="4"/>
  <c r="O21" i="4"/>
  <c r="P21" i="4"/>
  <c r="Q21" i="4"/>
  <c r="L21" i="4"/>
  <c r="M20" i="4"/>
  <c r="N20" i="4"/>
  <c r="O20" i="4"/>
  <c r="P20" i="4"/>
  <c r="Q20" i="4"/>
  <c r="L20" i="4"/>
  <c r="M19" i="4"/>
  <c r="N19" i="4"/>
  <c r="O19" i="4"/>
  <c r="P19" i="4"/>
  <c r="Q19" i="4"/>
  <c r="L19" i="4"/>
  <c r="Q5" i="4"/>
  <c r="P5" i="4"/>
  <c r="O5" i="4"/>
  <c r="N5" i="4"/>
  <c r="M5" i="4"/>
  <c r="M16" i="4"/>
  <c r="N16" i="4"/>
  <c r="O16" i="4"/>
  <c r="P16" i="4"/>
  <c r="Q16" i="4"/>
  <c r="M15" i="4"/>
  <c r="N15" i="4"/>
  <c r="O15" i="4"/>
  <c r="P15" i="4"/>
  <c r="Q15" i="4"/>
  <c r="L16" i="4"/>
  <c r="M14" i="4"/>
  <c r="N14" i="4"/>
  <c r="O14" i="4"/>
  <c r="P14" i="4"/>
  <c r="Q14" i="4"/>
  <c r="M13" i="4"/>
  <c r="N13" i="4"/>
  <c r="O13" i="4"/>
  <c r="P13" i="4"/>
  <c r="Q13" i="4"/>
  <c r="M12" i="4"/>
  <c r="N12" i="4"/>
  <c r="O12" i="4"/>
  <c r="P12" i="4"/>
  <c r="Q12" i="4"/>
  <c r="L13" i="4"/>
  <c r="L14" i="4"/>
  <c r="L15" i="4"/>
  <c r="M11" i="4"/>
  <c r="N11" i="4"/>
  <c r="O11" i="4"/>
  <c r="P11" i="4"/>
  <c r="Q11" i="4"/>
  <c r="L12" i="4"/>
  <c r="Q10" i="4"/>
  <c r="M10" i="4"/>
  <c r="N10" i="4"/>
  <c r="O10" i="4"/>
  <c r="P10" i="4"/>
  <c r="L11" i="4"/>
  <c r="M9" i="4"/>
  <c r="N9" i="4"/>
  <c r="O9" i="4"/>
  <c r="P9" i="4"/>
  <c r="Q9" i="4"/>
  <c r="L10" i="4"/>
  <c r="M8" i="4"/>
  <c r="N8" i="4"/>
  <c r="O8" i="4"/>
  <c r="P8" i="4"/>
  <c r="Q8" i="4"/>
  <c r="L9" i="4"/>
  <c r="M7" i="4"/>
  <c r="N7" i="4"/>
  <c r="O7" i="4"/>
  <c r="P7" i="4"/>
  <c r="Q7" i="4"/>
  <c r="M6" i="4"/>
  <c r="N6" i="4"/>
  <c r="O6" i="4"/>
  <c r="P6" i="4"/>
  <c r="Q6" i="4"/>
  <c r="L7" i="4"/>
  <c r="L8" i="4"/>
  <c r="L6" i="4"/>
  <c r="L5" i="4"/>
  <c r="J5" i="3"/>
  <c r="J16" i="3"/>
  <c r="K16" i="3"/>
  <c r="L16" i="3"/>
  <c r="M16" i="3"/>
  <c r="N16" i="3"/>
  <c r="O16" i="3"/>
  <c r="J15" i="3"/>
  <c r="K15" i="3"/>
  <c r="L15" i="3"/>
  <c r="M15" i="3"/>
  <c r="N15" i="3"/>
  <c r="O15" i="3"/>
  <c r="J13" i="3"/>
  <c r="K13" i="3"/>
  <c r="L13" i="3"/>
  <c r="M13" i="3"/>
  <c r="N13" i="3"/>
  <c r="O13" i="3"/>
  <c r="J11" i="3"/>
  <c r="K11" i="3"/>
  <c r="L11" i="3"/>
  <c r="M11" i="3"/>
  <c r="N11" i="3"/>
  <c r="O11" i="3"/>
  <c r="J9" i="3"/>
  <c r="K9" i="3"/>
  <c r="L9" i="3"/>
  <c r="M9" i="3"/>
  <c r="N9" i="3"/>
  <c r="O9" i="3"/>
  <c r="J7" i="3"/>
  <c r="K7" i="3"/>
  <c r="L7" i="3"/>
  <c r="M7" i="3"/>
  <c r="N7" i="3"/>
  <c r="O7" i="3"/>
  <c r="K14" i="3"/>
  <c r="L14" i="3"/>
  <c r="M14" i="3"/>
  <c r="N14" i="3"/>
  <c r="O14" i="3"/>
  <c r="K12" i="3"/>
  <c r="L12" i="3"/>
  <c r="M12" i="3"/>
  <c r="N12" i="3"/>
  <c r="O12" i="3"/>
  <c r="K10" i="3"/>
  <c r="L10" i="3"/>
  <c r="M10" i="3"/>
  <c r="N10" i="3"/>
  <c r="O10" i="3"/>
  <c r="K8" i="3"/>
  <c r="L8" i="3"/>
  <c r="M8" i="3"/>
  <c r="N8" i="3"/>
  <c r="O8" i="3"/>
  <c r="J8" i="3"/>
  <c r="J10" i="3"/>
  <c r="J12" i="3"/>
  <c r="J14" i="3"/>
  <c r="K6" i="3"/>
  <c r="L6" i="3"/>
  <c r="M6" i="3"/>
  <c r="N6" i="3"/>
  <c r="O6" i="3"/>
  <c r="J6" i="3"/>
  <c r="K5" i="3"/>
  <c r="L5" i="3"/>
  <c r="M5" i="3"/>
  <c r="N5" i="3"/>
  <c r="O5" i="3"/>
  <c r="G26" i="2"/>
  <c r="G27" i="2"/>
  <c r="G28" i="2"/>
  <c r="G29" i="2"/>
  <c r="G30" i="2"/>
  <c r="F26" i="2"/>
  <c r="F27" i="2"/>
  <c r="F28" i="2"/>
  <c r="F29" i="2"/>
  <c r="F30" i="2"/>
  <c r="E26" i="2"/>
  <c r="E28" i="2"/>
  <c r="E29" i="2"/>
  <c r="D26" i="2"/>
  <c r="D27" i="2"/>
  <c r="E27" i="2" s="1"/>
  <c r="D28" i="2"/>
  <c r="D29" i="2"/>
  <c r="D30" i="2"/>
  <c r="E30" i="2" s="1"/>
  <c r="D22" i="2"/>
  <c r="D23" i="2"/>
  <c r="D24" i="2"/>
  <c r="E24" i="2" s="1"/>
  <c r="D25" i="2"/>
  <c r="G22" i="2"/>
  <c r="G23" i="2"/>
  <c r="G24" i="2"/>
  <c r="G25" i="2"/>
  <c r="G21" i="2"/>
  <c r="F22" i="2"/>
  <c r="F23" i="2"/>
  <c r="F24" i="2"/>
  <c r="F25" i="2"/>
  <c r="F21" i="2"/>
  <c r="E25" i="2"/>
  <c r="E22" i="2"/>
  <c r="E23" i="2"/>
  <c r="D21" i="2"/>
  <c r="E21" i="2" s="1"/>
  <c r="G6" i="1"/>
  <c r="G7" i="1"/>
  <c r="G8" i="1"/>
  <c r="G9" i="1"/>
  <c r="G10" i="1"/>
  <c r="G11" i="1"/>
  <c r="G12" i="1"/>
  <c r="G13" i="1"/>
  <c r="G14" i="1"/>
  <c r="G15" i="1"/>
  <c r="G16" i="1"/>
  <c r="G5" i="1"/>
  <c r="F7" i="1"/>
  <c r="F8" i="1"/>
  <c r="F9" i="1"/>
  <c r="F10" i="1"/>
  <c r="F11" i="1"/>
  <c r="F12" i="1"/>
  <c r="F13" i="1"/>
  <c r="F14" i="1"/>
  <c r="F15" i="1"/>
  <c r="F16" i="1"/>
  <c r="F5" i="1"/>
  <c r="G6" i="2"/>
  <c r="G7" i="2"/>
  <c r="G8" i="2"/>
  <c r="G9" i="2"/>
  <c r="G10" i="2"/>
  <c r="G11" i="2"/>
  <c r="G12" i="2"/>
  <c r="G13" i="2"/>
  <c r="G14" i="2"/>
  <c r="G15" i="2"/>
  <c r="G16" i="2"/>
  <c r="G5" i="2"/>
  <c r="E16" i="2"/>
  <c r="F6" i="2"/>
  <c r="F7" i="2"/>
  <c r="F8" i="2"/>
  <c r="F9" i="2"/>
  <c r="F10" i="2"/>
  <c r="F11" i="2"/>
  <c r="F12" i="2"/>
  <c r="F13" i="2"/>
  <c r="F14" i="2"/>
  <c r="F15" i="2"/>
  <c r="F16" i="2"/>
  <c r="F5" i="2"/>
  <c r="D6" i="2"/>
  <c r="E6" i="2" s="1"/>
  <c r="D7" i="2"/>
  <c r="E7" i="2" s="1"/>
  <c r="D8" i="2"/>
  <c r="E8" i="2" s="1"/>
  <c r="D9" i="2"/>
  <c r="E9" i="2" s="1"/>
  <c r="D10" i="2"/>
  <c r="E10" i="2" s="1"/>
  <c r="D11" i="2"/>
  <c r="E11" i="2" s="1"/>
  <c r="D12" i="2"/>
  <c r="E12" i="2" s="1"/>
  <c r="D13" i="2"/>
  <c r="E13" i="2" s="1"/>
  <c r="D14" i="2"/>
  <c r="E14" i="2" s="1"/>
  <c r="D15" i="2"/>
  <c r="E15" i="2" s="1"/>
  <c r="D16" i="2"/>
  <c r="D5" i="2"/>
  <c r="E5" i="2" s="1"/>
  <c r="D6" i="1" l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5" i="1"/>
  <c r="E5" i="1" s="1"/>
</calcChain>
</file>

<file path=xl/sharedStrings.xml><?xml version="1.0" encoding="utf-8"?>
<sst xmlns="http://schemas.openxmlformats.org/spreadsheetml/2006/main" count="180" uniqueCount="34">
  <si>
    <t>TITAN COMPANY LTD</t>
  </si>
  <si>
    <t>Narration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</si>
  <si>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</si>
  <si>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</si>
  <si>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</si>
  <si>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</si>
  <si>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</si>
  <si>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</si>
  <si>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</si>
  <si>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</si>
  <si>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</si>
  <si>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EPS</t>
  </si>
  <si>
    <t>Price to earning</t>
  </si>
  <si>
    <t>Price</t>
  </si>
  <si>
    <t xml:space="preserve">Comparitaive Analysis </t>
  </si>
  <si>
    <t xml:space="preserve">Abs Change </t>
  </si>
  <si>
    <t xml:space="preserve">% Change </t>
  </si>
  <si>
    <t>TATA STEEL LTD</t>
  </si>
  <si>
    <t>% Change  2025</t>
  </si>
  <si>
    <t>% Change 2024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</si>
  <si>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</si>
  <si>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</si>
  <si>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</si>
  <si>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</si>
  <si>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</si>
  <si>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</si>
  <si>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</si>
  <si>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</si>
  <si>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</si>
  <si>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 xml:space="preserve">Balance Sheet </t>
  </si>
  <si>
    <t xml:space="preserve">Profit  &amp; Loss </t>
  </si>
  <si>
    <t xml:space="preserve">Trend Anaylasis </t>
  </si>
  <si>
    <t>Common Size  Analysis</t>
  </si>
  <si>
    <t>Common Size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</si>
</sst>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10" fontId="0" fillId="0" borderId="0" xfId="0" applyNumberFormat="1"/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17" fontId="0" fillId="0" borderId="1" xfId="0" applyNumberFormat="1" applyBorder="1"/>
    <xf numFmtId="0" fontId="0" fillId="0" borderId="1" xfId="0" applyBorder="1" applyAlignment="1">
      <alignment horizontal="center"/>
    </xf>
    <xf numFmtId="9" fontId="0" fillId="0" borderId="1" xfId="0" applyNumberFormat="1" applyBorder="1"/>
    <xf numFmtId="10" fontId="0" fillId="0" borderId="1" xfId="0" applyNumberFormat="1" applyBorder="1"/>
    <xf numFmtId="0" fontId="0" fillId="0" borderId="5" xfId="0" applyBorder="1"/>
    <xf numFmtId="10" fontId="0" fillId="0" borderId="5" xfId="0" applyNumberFormat="1" applyBorder="1"/>
    <xf numFmtId="9" fontId="0" fillId="0" borderId="5" xfId="0" applyNumberFormat="1" applyBorder="1"/>
    <xf numFmtId="0" fontId="0" fillId="0" borderId="0" xfId="0" applyBorder="1"/>
    <xf numFmtId="10" fontId="0" fillId="0" borderId="0" xfId="0" applyNumberFormat="1" applyBorder="1"/>
    <xf numFmtId="9" fontId="0" fillId="0" borderId="0" xfId="0" applyNumberFormat="1" applyBorder="1"/>
    <xf numFmtId="0" fontId="2" fillId="2" borderId="1" xfId="0" applyFont="1" applyFill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0" xfId="0" applyFill="1" applyBorder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RAV\Downloads\Tata%20Steel.xlsx" TargetMode="External"/><Relationship Id="rId1" Type="http://schemas.openxmlformats.org/officeDocument/2006/relationships/externalLinkPath" Target="file:///C:\Users\NIRAV\Downloads\Tata%20Stee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RAV\Downloads\Titan%20Company.xlsx" TargetMode="External"/><Relationship Id="rId1" Type="http://schemas.openxmlformats.org/officeDocument/2006/relationships/externalLinkPath" Target="file:///C:\Users\NIRAV\Downloads\Titan%20Compan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it &amp; Loss"/>
      <sheetName val="Quarters"/>
      <sheetName val="Balance Sheet"/>
      <sheetName val="Cash Flow"/>
      <sheetName val="Customization"/>
      <sheetName val="Data Sheet"/>
    </sheetNames>
    <sheetDataSet>
      <sheetData sheetId="0">
        <row r="1">
          <cell r="A1" t="str">
            <v>TATA STEEL LTD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it &amp; Loss"/>
      <sheetName val="Quarters"/>
      <sheetName val="Balance Sheet"/>
      <sheetName val="Cash Flow"/>
      <sheetName val="Customization"/>
      <sheetName val="Data Sheet"/>
    </sheetNames>
    <sheetDataSet>
      <sheetData sheetId="0">
        <row r="1">
          <cell r="A1" t="str">
            <v>TITAN COMPANY LTD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D72DE-74A2-4E46-BFC3-62C26B6563CF}">
  <dimension ref="A1:O31"/>
  <sheetViews>
    <sheetView workbookViewId="0">
      <selection activeCell="F19" sqref="F19:G19"/>
    </sheetView>
  </sheetViews>
  <sheetFormatPr defaultRowHeight="15" x14ac:dyDescent="0.25"/>
  <cols>
    <col min="1" max="1" width="19.7109375" bestFit="1" customWidth="1"/>
    <col min="2" max="3" width="12" bestFit="1" customWidth="1"/>
    <col min="4" max="4" width="21.42578125" bestFit="1" customWidth="1"/>
    <col min="5" max="5" width="12" bestFit="1" customWidth="1"/>
    <col min="6" max="6" width="14.140625" bestFit="1" customWidth="1"/>
    <col min="7" max="7" width="14.5703125" bestFit="1" customWidth="1"/>
  </cols>
  <sheetData>
    <row r="1" spans="1:7" x14ac:dyDescent="0.25">
      <c r="A1" s="30" t="s">
        <v>0</v>
      </c>
      <c r="B1" s="30"/>
      <c r="C1" s="30"/>
      <c r="D1" s="30"/>
      <c r="E1" s="30"/>
      <c r="F1" s="30"/>
      <c r="G1" s="30"/>
    </row>
    <row r="2" spans="1:7" s="37" customFormat="1" x14ac:dyDescent="0.25">
      <c r="A2" s="12" t="s">
        <v>30</v>
      </c>
      <c r="B2" s="12"/>
      <c r="C2" s="12"/>
      <c r="D2" s="12"/>
      <c r="E2" s="12"/>
      <c r="F2" s="12"/>
      <c r="G2" s="12"/>
    </row>
    <row r="3" spans="1:7" x14ac:dyDescent="0.25">
      <c r="A3" s="17"/>
      <c r="B3" s="17"/>
      <c r="C3" s="17"/>
      <c r="D3" s="18" t="s">
        <v>14</v>
      </c>
      <c r="E3" s="18"/>
      <c r="F3" s="19" t="s">
        <v>32</v>
      </c>
      <c r="G3" s="19"/>
    </row>
    <row r="4" spans="1:7" x14ac:dyDescent="0.25">
      <c r="A4" s="21" t="s">
        <v>1</v>
      </c>
      <c r="B4" s="31">
        <v>45352</v>
      </c>
      <c r="C4" s="31">
        <v>45717</v>
      </c>
      <c r="D4" s="21" t="s">
        <v>15</v>
      </c>
      <c r="E4" s="21" t="s">
        <v>16</v>
      </c>
      <c r="F4" s="22" t="s">
        <v>19</v>
      </c>
      <c r="G4" s="22" t="s">
        <v>18</v>
      </c>
    </row>
    <row r="5" spans="1:7" x14ac:dyDescent="0.25">
      <c r="A5" s="21" t="s">
        <v>2</v>
      </c>
      <c r="B5" s="21">
        <v>51084</v>
      </c>
      <c r="C5" s="21">
        <v>60456</v>
      </c>
      <c r="D5" s="21">
        <f>C5-B5</f>
        <v>9372</v>
      </c>
      <c r="E5" s="32">
        <f>(D5/B5)*100</f>
        <v>18.34625322997416</v>
      </c>
      <c r="F5" s="23">
        <f>B5/$B$5</f>
        <v>1</v>
      </c>
      <c r="G5" s="23">
        <f>C5/$C$5</f>
        <v>1</v>
      </c>
    </row>
    <row r="6" spans="1:7" x14ac:dyDescent="0.25">
      <c r="A6" s="21" t="s">
        <v>3</v>
      </c>
      <c r="B6" s="21">
        <v>45792</v>
      </c>
      <c r="C6" s="21">
        <v>54762</v>
      </c>
      <c r="D6" s="21">
        <f t="shared" ref="D6:D16" si="0">C6-B6</f>
        <v>8970</v>
      </c>
      <c r="E6" s="32">
        <f t="shared" ref="E6:E16" si="1">(D6/B6)*100</f>
        <v>19.588574423480086</v>
      </c>
      <c r="F6" s="23">
        <f>B6/$B$5</f>
        <v>0.89640591966173366</v>
      </c>
      <c r="G6" s="23">
        <f t="shared" ref="G6:G16" si="2">C6/$C$5</f>
        <v>0.90581579992060346</v>
      </c>
    </row>
    <row r="7" spans="1:7" x14ac:dyDescent="0.25">
      <c r="A7" s="21" t="s">
        <v>4</v>
      </c>
      <c r="B7" s="21">
        <v>5292</v>
      </c>
      <c r="C7" s="21">
        <v>5694</v>
      </c>
      <c r="D7" s="21">
        <f t="shared" si="0"/>
        <v>402</v>
      </c>
      <c r="E7" s="32">
        <f t="shared" si="1"/>
        <v>7.5963718820861681</v>
      </c>
      <c r="F7" s="23">
        <f>B7/$B$5</f>
        <v>0.10359408033826638</v>
      </c>
      <c r="G7" s="23">
        <f t="shared" si="2"/>
        <v>9.4184200079396582E-2</v>
      </c>
    </row>
    <row r="8" spans="1:7" x14ac:dyDescent="0.25">
      <c r="A8" s="21" t="s">
        <v>5</v>
      </c>
      <c r="B8" s="21">
        <v>534</v>
      </c>
      <c r="C8" s="21">
        <v>487</v>
      </c>
      <c r="D8" s="21">
        <f t="shared" si="0"/>
        <v>-47</v>
      </c>
      <c r="E8" s="32">
        <f t="shared" si="1"/>
        <v>-8.8014981273408246</v>
      </c>
      <c r="F8" s="23">
        <f>B8/$B$5</f>
        <v>1.0453370918487198E-2</v>
      </c>
      <c r="G8" s="23">
        <f t="shared" si="2"/>
        <v>8.0554452825195178E-3</v>
      </c>
    </row>
    <row r="9" spans="1:7" x14ac:dyDescent="0.25">
      <c r="A9" s="21" t="s">
        <v>6</v>
      </c>
      <c r="B9" s="21">
        <v>584</v>
      </c>
      <c r="C9" s="21">
        <v>693</v>
      </c>
      <c r="D9" s="21">
        <f t="shared" si="0"/>
        <v>109</v>
      </c>
      <c r="E9" s="32">
        <f t="shared" si="1"/>
        <v>18.664383561643834</v>
      </c>
      <c r="F9" s="23">
        <f>B9/$B$5</f>
        <v>1.1432150967034689E-2</v>
      </c>
      <c r="G9" s="23">
        <f t="shared" si="2"/>
        <v>1.146288209606987E-2</v>
      </c>
    </row>
    <row r="10" spans="1:7" x14ac:dyDescent="0.25">
      <c r="A10" s="21" t="s">
        <v>7</v>
      </c>
      <c r="B10" s="21">
        <v>619</v>
      </c>
      <c r="C10" s="21">
        <v>953</v>
      </c>
      <c r="D10" s="21">
        <f t="shared" si="0"/>
        <v>334</v>
      </c>
      <c r="E10" s="32">
        <f t="shared" si="1"/>
        <v>53.957996768982227</v>
      </c>
      <c r="F10" s="23">
        <f>B10/$B$5</f>
        <v>1.2117297001017931E-2</v>
      </c>
      <c r="G10" s="23">
        <f t="shared" si="2"/>
        <v>1.5763530501521766E-2</v>
      </c>
    </row>
    <row r="11" spans="1:7" x14ac:dyDescent="0.25">
      <c r="A11" s="21" t="s">
        <v>8</v>
      </c>
      <c r="B11" s="21">
        <v>4623</v>
      </c>
      <c r="C11" s="21">
        <v>4535</v>
      </c>
      <c r="D11" s="21">
        <f t="shared" si="0"/>
        <v>-88</v>
      </c>
      <c r="E11" s="32">
        <f t="shared" si="1"/>
        <v>-1.9035258490157907</v>
      </c>
      <c r="F11" s="23">
        <f>B11/$B$5</f>
        <v>9.0498003288700959E-2</v>
      </c>
      <c r="G11" s="23">
        <f t="shared" si="2"/>
        <v>7.5013232764324464E-2</v>
      </c>
    </row>
    <row r="12" spans="1:7" x14ac:dyDescent="0.25">
      <c r="A12" s="21" t="s">
        <v>9</v>
      </c>
      <c r="B12" s="21">
        <v>1127</v>
      </c>
      <c r="C12" s="21">
        <v>1198</v>
      </c>
      <c r="D12" s="21">
        <f t="shared" si="0"/>
        <v>71</v>
      </c>
      <c r="E12" s="32">
        <f t="shared" si="1"/>
        <v>6.299911268855368</v>
      </c>
      <c r="F12" s="23">
        <f>B12/$B$5</f>
        <v>2.2061702294260434E-2</v>
      </c>
      <c r="G12" s="23">
        <f t="shared" si="2"/>
        <v>1.9816064575889903E-2</v>
      </c>
    </row>
    <row r="13" spans="1:7" x14ac:dyDescent="0.25">
      <c r="A13" s="21" t="s">
        <v>10</v>
      </c>
      <c r="B13" s="21">
        <v>3496</v>
      </c>
      <c r="C13" s="21">
        <v>3337</v>
      </c>
      <c r="D13" s="21">
        <f t="shared" si="0"/>
        <v>-159</v>
      </c>
      <c r="E13" s="32">
        <f t="shared" si="1"/>
        <v>-4.5480549199084663</v>
      </c>
      <c r="F13" s="23">
        <f>B13/$B$5</f>
        <v>6.8436300994440535E-2</v>
      </c>
      <c r="G13" s="23">
        <f t="shared" si="2"/>
        <v>5.5197168188434564E-2</v>
      </c>
    </row>
    <row r="14" spans="1:7" x14ac:dyDescent="0.25">
      <c r="A14" s="21" t="s">
        <v>11</v>
      </c>
      <c r="B14" s="33">
        <v>39.37823834196891</v>
      </c>
      <c r="C14" s="33">
        <v>37.58729443568371</v>
      </c>
      <c r="D14" s="34">
        <f t="shared" si="0"/>
        <v>-1.7909439062852002</v>
      </c>
      <c r="E14" s="32">
        <f t="shared" si="1"/>
        <v>-4.548054919908469</v>
      </c>
      <c r="F14" s="23">
        <f>B14/$B$5</f>
        <v>7.7085268072133958E-4</v>
      </c>
      <c r="G14" s="23">
        <f t="shared" si="2"/>
        <v>6.2172976107720843E-4</v>
      </c>
    </row>
    <row r="15" spans="1:7" x14ac:dyDescent="0.25">
      <c r="A15" s="21" t="s">
        <v>12</v>
      </c>
      <c r="B15" s="33">
        <v>96.545710526315801</v>
      </c>
      <c r="C15" s="33">
        <v>81.499614324243339</v>
      </c>
      <c r="D15" s="34">
        <f t="shared" si="0"/>
        <v>-15.046096202072462</v>
      </c>
      <c r="E15" s="32">
        <f t="shared" si="1"/>
        <v>-15.584427438618617</v>
      </c>
      <c r="F15" s="23">
        <f>B15/$B$5</f>
        <v>1.8899403047199868E-3</v>
      </c>
      <c r="G15" s="23">
        <f t="shared" si="2"/>
        <v>1.3480814861096225E-3</v>
      </c>
    </row>
    <row r="16" spans="1:7" x14ac:dyDescent="0.25">
      <c r="A16" s="21" t="s">
        <v>13</v>
      </c>
      <c r="B16" s="21">
        <v>3801.8</v>
      </c>
      <c r="C16" s="21">
        <v>3063.35</v>
      </c>
      <c r="D16" s="21">
        <f t="shared" si="0"/>
        <v>-738.45000000000027</v>
      </c>
      <c r="E16" s="32">
        <f t="shared" si="1"/>
        <v>-19.423694039665428</v>
      </c>
      <c r="F16" s="23">
        <f>B16/$B$5</f>
        <v>7.4422519771356985E-2</v>
      </c>
      <c r="G16" s="23">
        <f t="shared" si="2"/>
        <v>5.0670735741696442E-2</v>
      </c>
    </row>
    <row r="17" spans="1:15" s="27" customFormat="1" x14ac:dyDescent="0.25">
      <c r="A17" s="35"/>
      <c r="B17" s="35"/>
      <c r="C17" s="35"/>
      <c r="D17" s="35"/>
      <c r="E17" s="36"/>
      <c r="F17" s="28"/>
      <c r="G17" s="28"/>
    </row>
    <row r="18" spans="1:15" x14ac:dyDescent="0.25">
      <c r="A18" s="11" t="s">
        <v>29</v>
      </c>
      <c r="B18" s="11"/>
      <c r="C18" s="11"/>
      <c r="D18" s="11"/>
      <c r="E18" s="11"/>
      <c r="F18" s="11"/>
      <c r="G18" s="11"/>
      <c r="H18" s="41"/>
      <c r="I18" s="41"/>
      <c r="J18" s="41"/>
      <c r="K18" s="41"/>
      <c r="L18" s="41"/>
      <c r="M18" s="41"/>
      <c r="N18" s="41"/>
      <c r="O18" s="41"/>
    </row>
    <row r="19" spans="1:15" x14ac:dyDescent="0.25">
      <c r="A19" s="17"/>
      <c r="B19" s="17"/>
      <c r="C19" s="17"/>
      <c r="D19" s="18" t="s">
        <v>14</v>
      </c>
      <c r="E19" s="18"/>
      <c r="F19" s="19" t="s">
        <v>33</v>
      </c>
      <c r="G19" s="19"/>
    </row>
    <row r="20" spans="1:15" x14ac:dyDescent="0.25">
      <c r="A20" s="17" t="s">
        <v>1</v>
      </c>
      <c r="B20" s="20">
        <v>45352</v>
      </c>
      <c r="C20" s="20">
        <v>45717</v>
      </c>
      <c r="D20" s="21" t="s">
        <v>15</v>
      </c>
      <c r="E20" s="21" t="s">
        <v>16</v>
      </c>
      <c r="F20" s="22" t="s">
        <v>19</v>
      </c>
      <c r="G20" s="22" t="s">
        <v>18</v>
      </c>
    </row>
    <row r="21" spans="1:15" x14ac:dyDescent="0.25">
      <c r="A21" s="17" t="s">
        <v>20</v>
      </c>
      <c r="B21" s="17">
        <v>89</v>
      </c>
      <c r="C21" s="17">
        <v>89</v>
      </c>
      <c r="D21" s="17">
        <f>C21-B21</f>
        <v>0</v>
      </c>
      <c r="E21" s="22">
        <f>(D21/B21)*100</f>
        <v>0</v>
      </c>
      <c r="F21" s="22">
        <f>B21/$B$21</f>
        <v>1</v>
      </c>
      <c r="G21" s="22">
        <f>C21/$C$21</f>
        <v>1</v>
      </c>
    </row>
    <row r="22" spans="1:15" x14ac:dyDescent="0.25">
      <c r="A22" s="17" t="s">
        <v>21</v>
      </c>
      <c r="B22" s="17">
        <v>9304</v>
      </c>
      <c r="C22" s="17">
        <v>11535</v>
      </c>
      <c r="D22" s="17">
        <f t="shared" ref="D22:D25" si="3">C22-B22</f>
        <v>2231</v>
      </c>
      <c r="E22" s="22">
        <f t="shared" ref="E22:E25" si="4">(D22/B22)*100</f>
        <v>23.978933791917456</v>
      </c>
      <c r="F22" s="22">
        <f t="shared" ref="F22:F25" si="5">B22/$B$21</f>
        <v>104.53932584269663</v>
      </c>
      <c r="G22" s="22">
        <f t="shared" ref="G22:G25" si="6">C22/$C$21</f>
        <v>129.6067415730337</v>
      </c>
    </row>
    <row r="23" spans="1:15" x14ac:dyDescent="0.25">
      <c r="A23" s="17" t="s">
        <v>22</v>
      </c>
      <c r="B23" s="17">
        <v>15528</v>
      </c>
      <c r="C23" s="17">
        <v>20777</v>
      </c>
      <c r="D23" s="17">
        <f t="shared" si="3"/>
        <v>5249</v>
      </c>
      <c r="E23" s="22">
        <f t="shared" si="4"/>
        <v>33.803451828954145</v>
      </c>
      <c r="F23" s="22">
        <f t="shared" si="5"/>
        <v>174.47191011235955</v>
      </c>
      <c r="G23" s="22">
        <f t="shared" si="6"/>
        <v>233.44943820224719</v>
      </c>
    </row>
    <row r="24" spans="1:15" x14ac:dyDescent="0.25">
      <c r="A24" s="17" t="s">
        <v>23</v>
      </c>
      <c r="B24" s="17">
        <v>6626</v>
      </c>
      <c r="C24" s="17">
        <v>8244</v>
      </c>
      <c r="D24" s="17">
        <f t="shared" si="3"/>
        <v>1618</v>
      </c>
      <c r="E24" s="22">
        <f t="shared" si="4"/>
        <v>24.418955629338967</v>
      </c>
      <c r="F24" s="22">
        <f t="shared" si="5"/>
        <v>74.449438202247194</v>
      </c>
      <c r="G24" s="22">
        <f t="shared" si="6"/>
        <v>92.629213483146074</v>
      </c>
    </row>
    <row r="25" spans="1:15" x14ac:dyDescent="0.25">
      <c r="A25" s="17" t="s">
        <v>24</v>
      </c>
      <c r="B25" s="17">
        <v>31547</v>
      </c>
      <c r="C25" s="17">
        <v>40645</v>
      </c>
      <c r="D25" s="17">
        <f t="shared" si="3"/>
        <v>9098</v>
      </c>
      <c r="E25" s="22">
        <f t="shared" si="4"/>
        <v>28.839509303578787</v>
      </c>
      <c r="F25" s="22">
        <f t="shared" si="5"/>
        <v>354.46067415730334</v>
      </c>
      <c r="G25" s="22">
        <f t="shared" si="6"/>
        <v>456.68539325842698</v>
      </c>
    </row>
    <row r="26" spans="1:15" x14ac:dyDescent="0.25">
      <c r="A26" s="17"/>
      <c r="B26" s="17"/>
      <c r="C26" s="17"/>
      <c r="D26" s="17"/>
      <c r="E26" s="22"/>
      <c r="F26" s="22"/>
      <c r="G26" s="22"/>
    </row>
    <row r="27" spans="1:15" x14ac:dyDescent="0.25">
      <c r="A27" s="17" t="s">
        <v>25</v>
      </c>
      <c r="B27" s="17">
        <v>3709</v>
      </c>
      <c r="C27" s="17">
        <v>4062</v>
      </c>
      <c r="D27" s="17">
        <f>C27-B27</f>
        <v>353</v>
      </c>
      <c r="E27" s="22">
        <f>(D27/B27)*100</f>
        <v>9.5173901321110819</v>
      </c>
      <c r="F27" s="22">
        <f>B27/$B$21</f>
        <v>41.674157303370784</v>
      </c>
      <c r="G27" s="22">
        <f>C27/$C$21</f>
        <v>45.640449438202246</v>
      </c>
    </row>
    <row r="28" spans="1:15" x14ac:dyDescent="0.25">
      <c r="A28" s="17" t="s">
        <v>26</v>
      </c>
      <c r="B28" s="17">
        <v>97</v>
      </c>
      <c r="C28" s="17">
        <v>105</v>
      </c>
      <c r="D28" s="17">
        <f t="shared" ref="D28:D31" si="7">C28-B28</f>
        <v>8</v>
      </c>
      <c r="E28" s="22">
        <f t="shared" ref="E28:E31" si="8">(D28/B28)*100</f>
        <v>8.2474226804123703</v>
      </c>
      <c r="F28" s="22">
        <f t="shared" ref="F28:F31" si="9">B28/$B$21</f>
        <v>1.0898876404494382</v>
      </c>
      <c r="G28" s="22">
        <f t="shared" ref="G28:G31" si="10">C28/$C$21</f>
        <v>1.1797752808988764</v>
      </c>
    </row>
    <row r="29" spans="1:15" x14ac:dyDescent="0.25">
      <c r="A29" s="17" t="s">
        <v>27</v>
      </c>
      <c r="B29" s="17">
        <v>2345</v>
      </c>
      <c r="C29" s="17">
        <v>1988</v>
      </c>
      <c r="D29" s="17">
        <f t="shared" si="7"/>
        <v>-357</v>
      </c>
      <c r="E29" s="22">
        <f t="shared" si="8"/>
        <v>-15.223880597014924</v>
      </c>
      <c r="F29" s="22">
        <f t="shared" si="9"/>
        <v>26.348314606741575</v>
      </c>
      <c r="G29" s="22">
        <f t="shared" si="10"/>
        <v>22.337078651685392</v>
      </c>
    </row>
    <row r="30" spans="1:15" x14ac:dyDescent="0.25">
      <c r="A30" s="17" t="s">
        <v>28</v>
      </c>
      <c r="B30" s="17">
        <v>25396</v>
      </c>
      <c r="C30" s="17">
        <v>34490</v>
      </c>
      <c r="D30" s="17">
        <f t="shared" si="7"/>
        <v>9094</v>
      </c>
      <c r="E30" s="22">
        <f t="shared" si="8"/>
        <v>35.808788785635528</v>
      </c>
      <c r="F30" s="22">
        <f t="shared" si="9"/>
        <v>285.34831460674155</v>
      </c>
      <c r="G30" s="22">
        <f t="shared" si="10"/>
        <v>387.52808988764048</v>
      </c>
    </row>
    <row r="31" spans="1:15" x14ac:dyDescent="0.25">
      <c r="A31" s="17" t="s">
        <v>24</v>
      </c>
      <c r="B31" s="17">
        <v>31547</v>
      </c>
      <c r="C31" s="17">
        <v>40645</v>
      </c>
      <c r="D31" s="17">
        <f t="shared" si="7"/>
        <v>9098</v>
      </c>
      <c r="E31" s="22">
        <f t="shared" si="8"/>
        <v>28.839509303578787</v>
      </c>
      <c r="F31" s="22">
        <f t="shared" si="9"/>
        <v>354.46067415730334</v>
      </c>
      <c r="G31" s="22">
        <f t="shared" si="10"/>
        <v>456.68539325842698</v>
      </c>
    </row>
  </sheetData>
  <mergeCells count="7">
    <mergeCell ref="D3:E3"/>
    <mergeCell ref="D19:E19"/>
    <mergeCell ref="F19:G19"/>
    <mergeCell ref="F3:G3"/>
    <mergeCell ref="A1:G1"/>
    <mergeCell ref="A2:G2"/>
    <mergeCell ref="A18:G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DBC75-675C-48F9-8983-070F843A3198}">
  <dimension ref="A1:Q29"/>
  <sheetViews>
    <sheetView zoomScaleNormal="100" workbookViewId="0">
      <selection activeCell="A2" sqref="A2:O2"/>
    </sheetView>
  </sheetViews>
  <sheetFormatPr defaultRowHeight="15" x14ac:dyDescent="0.25"/>
  <cols>
    <col min="1" max="1" width="15.7109375" bestFit="1" customWidth="1"/>
    <col min="9" max="9" width="22.85546875" bestFit="1" customWidth="1"/>
    <col min="10" max="15" width="11.140625" bestFit="1" customWidth="1"/>
  </cols>
  <sheetData>
    <row r="1" spans="1:17" x14ac:dyDescent="0.25">
      <c r="A1" s="11" t="str">
        <f>'[2]Profit &amp; Loss'!A1</f>
        <v>TITAN COMPANY LTD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7" x14ac:dyDescent="0.25">
      <c r="A2" s="13" t="s">
        <v>31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6"/>
      <c r="Q2" s="6"/>
    </row>
    <row r="3" spans="1:17" x14ac:dyDescent="0.25">
      <c r="A3" s="12" t="s">
        <v>30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7"/>
      <c r="Q3" s="7"/>
    </row>
    <row r="4" spans="1:17" x14ac:dyDescent="0.25">
      <c r="A4" s="8" t="s">
        <v>1</v>
      </c>
      <c r="B4" s="9">
        <v>43891</v>
      </c>
      <c r="C4" s="9">
        <v>44256</v>
      </c>
      <c r="D4" s="9">
        <v>44621</v>
      </c>
      <c r="E4" s="9">
        <v>44986</v>
      </c>
      <c r="F4" s="9">
        <v>45352</v>
      </c>
      <c r="G4" s="9">
        <v>45717</v>
      </c>
      <c r="H4" s="9"/>
      <c r="I4" s="8" t="s">
        <v>1</v>
      </c>
      <c r="J4" s="9">
        <v>43891</v>
      </c>
      <c r="K4" s="9">
        <v>44256</v>
      </c>
      <c r="L4" s="9">
        <v>44621</v>
      </c>
      <c r="M4" s="9">
        <v>44986</v>
      </c>
      <c r="N4" s="9">
        <v>45352</v>
      </c>
      <c r="O4" s="9">
        <v>45717</v>
      </c>
    </row>
    <row r="5" spans="1:17" x14ac:dyDescent="0.25">
      <c r="A5" s="8" t="s">
        <v>2</v>
      </c>
      <c r="B5" s="8">
        <v>21052</v>
      </c>
      <c r="C5" s="8">
        <v>21644</v>
      </c>
      <c r="D5" s="8">
        <v>28799</v>
      </c>
      <c r="E5" s="8">
        <v>40575</v>
      </c>
      <c r="F5" s="8">
        <v>51084</v>
      </c>
      <c r="G5" s="8">
        <v>60456</v>
      </c>
      <c r="H5" s="8"/>
      <c r="I5" s="8" t="s">
        <v>2</v>
      </c>
      <c r="J5" s="10">
        <f>B5/$B$5</f>
        <v>1</v>
      </c>
      <c r="K5" s="10">
        <f t="shared" ref="K5:O5" si="0">C5/$B$5</f>
        <v>1.0281208436253089</v>
      </c>
      <c r="L5" s="10">
        <f t="shared" si="0"/>
        <v>1.3679935398061942</v>
      </c>
      <c r="M5" s="10">
        <f t="shared" si="0"/>
        <v>1.9273703211096334</v>
      </c>
      <c r="N5" s="10">
        <f t="shared" si="0"/>
        <v>2.4265627968839065</v>
      </c>
      <c r="O5" s="10">
        <f t="shared" si="0"/>
        <v>2.8717461523845715</v>
      </c>
    </row>
    <row r="6" spans="1:17" x14ac:dyDescent="0.25">
      <c r="A6" s="8" t="s">
        <v>3</v>
      </c>
      <c r="B6" s="8">
        <v>18589</v>
      </c>
      <c r="C6" s="8">
        <v>19919</v>
      </c>
      <c r="D6" s="8">
        <v>25455</v>
      </c>
      <c r="E6" s="8">
        <v>35693</v>
      </c>
      <c r="F6" s="8">
        <v>45792</v>
      </c>
      <c r="G6" s="8">
        <v>54762</v>
      </c>
      <c r="H6" s="8"/>
      <c r="I6" s="8" t="s">
        <v>3</v>
      </c>
      <c r="J6" s="10">
        <f>B6/$B$6</f>
        <v>1</v>
      </c>
      <c r="K6" s="10">
        <f t="shared" ref="K6:O6" si="1">C6/$B$6</f>
        <v>1.0715476894937865</v>
      </c>
      <c r="L6" s="10">
        <f t="shared" si="1"/>
        <v>1.3693582226047663</v>
      </c>
      <c r="M6" s="10">
        <f t="shared" si="1"/>
        <v>1.9201140459411481</v>
      </c>
      <c r="N6" s="10">
        <f t="shared" si="1"/>
        <v>2.4633923287966</v>
      </c>
      <c r="O6" s="10">
        <f t="shared" si="1"/>
        <v>2.9459357684652212</v>
      </c>
    </row>
    <row r="7" spans="1:17" x14ac:dyDescent="0.25">
      <c r="A7" s="8" t="s">
        <v>4</v>
      </c>
      <c r="B7" s="8">
        <v>2463</v>
      </c>
      <c r="C7" s="8">
        <v>1725</v>
      </c>
      <c r="D7" s="8">
        <v>3344</v>
      </c>
      <c r="E7" s="8">
        <v>4882</v>
      </c>
      <c r="F7" s="8">
        <v>5292</v>
      </c>
      <c r="G7" s="8">
        <v>5694</v>
      </c>
      <c r="H7" s="8"/>
      <c r="I7" s="8" t="s">
        <v>4</v>
      </c>
      <c r="J7" s="10">
        <f>B7/$B$7</f>
        <v>1</v>
      </c>
      <c r="K7" s="10">
        <f t="shared" ref="K7:O7" si="2">C7/$B$7</f>
        <v>0.70036540803897684</v>
      </c>
      <c r="L7" s="10">
        <f t="shared" si="2"/>
        <v>1.3576938692651239</v>
      </c>
      <c r="M7" s="10">
        <f t="shared" si="2"/>
        <v>1.9821356069833536</v>
      </c>
      <c r="N7" s="10">
        <f t="shared" si="2"/>
        <v>2.1485992691839222</v>
      </c>
      <c r="O7" s="10">
        <f t="shared" si="2"/>
        <v>2.3118148599269186</v>
      </c>
    </row>
    <row r="8" spans="1:17" x14ac:dyDescent="0.25">
      <c r="A8" s="8" t="s">
        <v>5</v>
      </c>
      <c r="B8" s="8">
        <v>153</v>
      </c>
      <c r="C8" s="8">
        <v>180</v>
      </c>
      <c r="D8" s="8">
        <v>177</v>
      </c>
      <c r="E8" s="8">
        <v>306</v>
      </c>
      <c r="F8" s="8">
        <v>534</v>
      </c>
      <c r="G8" s="8">
        <v>487</v>
      </c>
      <c r="H8" s="8"/>
      <c r="I8" s="8" t="s">
        <v>5</v>
      </c>
      <c r="J8" s="10">
        <f>B8/$B$8</f>
        <v>1</v>
      </c>
      <c r="K8" s="10">
        <f t="shared" ref="K8:O8" si="3">C8/$B$8</f>
        <v>1.1764705882352942</v>
      </c>
      <c r="L8" s="10">
        <f t="shared" si="3"/>
        <v>1.1568627450980393</v>
      </c>
      <c r="M8" s="10">
        <f t="shared" si="3"/>
        <v>2</v>
      </c>
      <c r="N8" s="10">
        <f t="shared" si="3"/>
        <v>3.4901960784313726</v>
      </c>
      <c r="O8" s="10">
        <f t="shared" si="3"/>
        <v>3.1830065359477122</v>
      </c>
    </row>
    <row r="9" spans="1:17" x14ac:dyDescent="0.25">
      <c r="A9" s="8" t="s">
        <v>6</v>
      </c>
      <c r="B9" s="8">
        <v>348</v>
      </c>
      <c r="C9" s="8">
        <v>375</v>
      </c>
      <c r="D9" s="8">
        <v>399</v>
      </c>
      <c r="E9" s="8">
        <v>441</v>
      </c>
      <c r="F9" s="8">
        <v>584</v>
      </c>
      <c r="G9" s="8">
        <v>693</v>
      </c>
      <c r="H9" s="8"/>
      <c r="I9" s="8" t="s">
        <v>6</v>
      </c>
      <c r="J9" s="10">
        <f>B9/$B$9</f>
        <v>1</v>
      </c>
      <c r="K9" s="10">
        <f t="shared" ref="K9:O9" si="4">C9/$B$9</f>
        <v>1.0775862068965518</v>
      </c>
      <c r="L9" s="10">
        <f t="shared" si="4"/>
        <v>1.146551724137931</v>
      </c>
      <c r="M9" s="10">
        <f t="shared" si="4"/>
        <v>1.2672413793103448</v>
      </c>
      <c r="N9" s="10">
        <f t="shared" si="4"/>
        <v>1.6781609195402298</v>
      </c>
      <c r="O9" s="10">
        <f t="shared" si="4"/>
        <v>1.9913793103448276</v>
      </c>
    </row>
    <row r="10" spans="1:17" x14ac:dyDescent="0.25">
      <c r="A10" s="8" t="s">
        <v>7</v>
      </c>
      <c r="B10" s="8">
        <v>166</v>
      </c>
      <c r="C10" s="8">
        <v>203</v>
      </c>
      <c r="D10" s="8">
        <v>218</v>
      </c>
      <c r="E10" s="8">
        <v>300</v>
      </c>
      <c r="F10" s="8">
        <v>619</v>
      </c>
      <c r="G10" s="8">
        <v>953</v>
      </c>
      <c r="H10" s="8"/>
      <c r="I10" s="8" t="s">
        <v>7</v>
      </c>
      <c r="J10" s="10">
        <f>B10/$B$10</f>
        <v>1</v>
      </c>
      <c r="K10" s="10">
        <f t="shared" ref="K10:O10" si="5">C10/$B$10</f>
        <v>1.2228915662650603</v>
      </c>
      <c r="L10" s="10">
        <f t="shared" si="5"/>
        <v>1.3132530120481927</v>
      </c>
      <c r="M10" s="10">
        <f t="shared" si="5"/>
        <v>1.8072289156626506</v>
      </c>
      <c r="N10" s="10">
        <f t="shared" si="5"/>
        <v>3.7289156626506026</v>
      </c>
      <c r="O10" s="10">
        <f t="shared" si="5"/>
        <v>5.7409638554216871</v>
      </c>
    </row>
    <row r="11" spans="1:17" x14ac:dyDescent="0.25">
      <c r="A11" s="8" t="s">
        <v>8</v>
      </c>
      <c r="B11" s="8">
        <v>2102</v>
      </c>
      <c r="C11" s="8">
        <v>1327</v>
      </c>
      <c r="D11" s="8">
        <v>2904</v>
      </c>
      <c r="E11" s="8">
        <v>4447</v>
      </c>
      <c r="F11" s="8">
        <v>4623</v>
      </c>
      <c r="G11" s="8">
        <v>4535</v>
      </c>
      <c r="H11" s="8"/>
      <c r="I11" s="8" t="s">
        <v>8</v>
      </c>
      <c r="J11" s="10">
        <f>B11/$B$11</f>
        <v>1</v>
      </c>
      <c r="K11" s="10">
        <f>C11/$B$11</f>
        <v>0.6313035204567079</v>
      </c>
      <c r="L11" s="10">
        <f>D11/$B$11</f>
        <v>1.3815413891531874</v>
      </c>
      <c r="M11" s="10">
        <f>E11/$B$11</f>
        <v>2.1156041864890582</v>
      </c>
      <c r="N11" s="10">
        <f>F11/$B$11</f>
        <v>2.1993339676498573</v>
      </c>
      <c r="O11" s="10">
        <f>G11/$B$11</f>
        <v>2.1574690770694578</v>
      </c>
      <c r="P11" s="1"/>
    </row>
    <row r="12" spans="1:17" x14ac:dyDescent="0.25">
      <c r="A12" s="8" t="s">
        <v>9</v>
      </c>
      <c r="B12" s="8">
        <v>609</v>
      </c>
      <c r="C12" s="8">
        <v>353</v>
      </c>
      <c r="D12" s="8">
        <v>706</v>
      </c>
      <c r="E12" s="8">
        <v>1173</v>
      </c>
      <c r="F12" s="8">
        <v>1127</v>
      </c>
      <c r="G12" s="8">
        <v>1198</v>
      </c>
      <c r="H12" s="8"/>
      <c r="I12" s="8" t="s">
        <v>9</v>
      </c>
      <c r="J12" s="10">
        <f>B12/$B$12</f>
        <v>1</v>
      </c>
      <c r="K12" s="10">
        <f t="shared" ref="K12:O12" si="6">C12/$B$12</f>
        <v>0.57963875205254511</v>
      </c>
      <c r="L12" s="10">
        <f t="shared" si="6"/>
        <v>1.1592775041050902</v>
      </c>
      <c r="M12" s="10">
        <f t="shared" si="6"/>
        <v>1.9261083743842364</v>
      </c>
      <c r="N12" s="10">
        <f t="shared" si="6"/>
        <v>1.8505747126436782</v>
      </c>
      <c r="O12" s="10">
        <f t="shared" si="6"/>
        <v>1.9671592775041051</v>
      </c>
    </row>
    <row r="13" spans="1:17" x14ac:dyDescent="0.25">
      <c r="A13" s="8" t="s">
        <v>10</v>
      </c>
      <c r="B13" s="8">
        <v>1501</v>
      </c>
      <c r="C13" s="8">
        <v>973</v>
      </c>
      <c r="D13" s="8">
        <v>2173</v>
      </c>
      <c r="E13" s="8">
        <v>3250</v>
      </c>
      <c r="F13" s="8">
        <v>3496</v>
      </c>
      <c r="G13" s="8">
        <v>3337</v>
      </c>
      <c r="H13" s="8"/>
      <c r="I13" s="8" t="s">
        <v>10</v>
      </c>
      <c r="J13" s="10">
        <f>B13/$B$13</f>
        <v>1</v>
      </c>
      <c r="K13" s="10">
        <f t="shared" ref="K13:O13" si="7">C13/$B$13</f>
        <v>0.64823451032644908</v>
      </c>
      <c r="L13" s="10">
        <f t="shared" si="7"/>
        <v>1.4477015323117921</v>
      </c>
      <c r="M13" s="10">
        <f t="shared" si="7"/>
        <v>2.1652231845436374</v>
      </c>
      <c r="N13" s="10">
        <f t="shared" si="7"/>
        <v>2.3291139240506329</v>
      </c>
      <c r="O13" s="10">
        <f t="shared" si="7"/>
        <v>2.2231845436375748</v>
      </c>
    </row>
    <row r="14" spans="1:17" x14ac:dyDescent="0.25">
      <c r="A14" s="8" t="s">
        <v>11</v>
      </c>
      <c r="B14" s="8">
        <v>16.90696102725839</v>
      </c>
      <c r="C14" s="8">
        <v>10.959675602613201</v>
      </c>
      <c r="D14" s="8">
        <v>24.476233385897725</v>
      </c>
      <c r="E14" s="8">
        <v>36.607343996395585</v>
      </c>
      <c r="F14" s="8">
        <v>39.37823834196891</v>
      </c>
      <c r="G14" s="8">
        <v>37.58729443568371</v>
      </c>
      <c r="H14" s="8"/>
      <c r="I14" s="8" t="s">
        <v>11</v>
      </c>
      <c r="J14" s="10">
        <f>B14/$B$14</f>
        <v>1</v>
      </c>
      <c r="K14" s="10">
        <f t="shared" ref="K14:O14" si="8">C14/$B$14</f>
        <v>0.64823451032644908</v>
      </c>
      <c r="L14" s="10">
        <f t="shared" si="8"/>
        <v>1.4477015323117923</v>
      </c>
      <c r="M14" s="10">
        <f t="shared" si="8"/>
        <v>2.1652231845436378</v>
      </c>
      <c r="N14" s="10">
        <f t="shared" si="8"/>
        <v>2.3291139240506329</v>
      </c>
      <c r="O14" s="10">
        <f t="shared" si="8"/>
        <v>2.2231845436375748</v>
      </c>
    </row>
    <row r="15" spans="1:17" x14ac:dyDescent="0.25">
      <c r="A15" s="8" t="s">
        <v>12</v>
      </c>
      <c r="B15" s="8">
        <v>55.225773484343776</v>
      </c>
      <c r="C15" s="8">
        <v>142.16205447070914</v>
      </c>
      <c r="D15" s="8">
        <v>103.61684169351128</v>
      </c>
      <c r="E15" s="8">
        <v>68.699329846153844</v>
      </c>
      <c r="F15" s="8">
        <v>96.545710526315801</v>
      </c>
      <c r="G15" s="8">
        <v>81.499614324243339</v>
      </c>
      <c r="H15" s="8"/>
      <c r="I15" s="8" t="s">
        <v>12</v>
      </c>
      <c r="J15" s="10">
        <f>B15/$B$15</f>
        <v>1</v>
      </c>
      <c r="K15" s="10">
        <f t="shared" ref="K15:O15" si="9">C15/$B$15</f>
        <v>2.5741976164627438</v>
      </c>
      <c r="L15" s="10">
        <f t="shared" si="9"/>
        <v>1.8762406600404813</v>
      </c>
      <c r="M15" s="10">
        <f t="shared" si="9"/>
        <v>1.2439722526589827</v>
      </c>
      <c r="N15" s="10">
        <f t="shared" si="9"/>
        <v>1.7482002412095869</v>
      </c>
      <c r="O15" s="10">
        <f t="shared" si="9"/>
        <v>1.4757532431365232</v>
      </c>
    </row>
    <row r="16" spans="1:17" x14ac:dyDescent="0.25">
      <c r="A16" s="8" t="s">
        <v>13</v>
      </c>
      <c r="B16" s="8">
        <v>933.7</v>
      </c>
      <c r="C16" s="8">
        <v>1558.05</v>
      </c>
      <c r="D16" s="8">
        <v>2536.15</v>
      </c>
      <c r="E16" s="8">
        <v>2514.9</v>
      </c>
      <c r="F16" s="8">
        <v>3801.8</v>
      </c>
      <c r="G16" s="8">
        <v>3063.35</v>
      </c>
      <c r="H16" s="8"/>
      <c r="I16" s="8" t="s">
        <v>13</v>
      </c>
      <c r="J16" s="10">
        <f>B16/$B$16</f>
        <v>1</v>
      </c>
      <c r="K16" s="10">
        <f t="shared" ref="K16:O16" si="10">C16/$B$16</f>
        <v>1.668683731391239</v>
      </c>
      <c r="L16" s="10">
        <f t="shared" si="10"/>
        <v>2.7162364785262931</v>
      </c>
      <c r="M16" s="10">
        <f t="shared" si="10"/>
        <v>2.6934775623862053</v>
      </c>
      <c r="N16" s="10">
        <f t="shared" si="10"/>
        <v>4.0717575238299242</v>
      </c>
      <c r="O16" s="10">
        <f t="shared" si="10"/>
        <v>3.2808718003641424</v>
      </c>
    </row>
    <row r="17" spans="1:17" x14ac:dyDescent="0.25">
      <c r="A17" s="11" t="s">
        <v>29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7"/>
      <c r="Q17" s="7"/>
    </row>
    <row r="18" spans="1:17" x14ac:dyDescent="0.25">
      <c r="A18" s="8" t="s">
        <v>1</v>
      </c>
      <c r="B18" s="9">
        <v>43891</v>
      </c>
      <c r="C18" s="9">
        <v>44256</v>
      </c>
      <c r="D18" s="9">
        <v>44621</v>
      </c>
      <c r="E18" s="9">
        <v>44986</v>
      </c>
      <c r="F18" s="9">
        <v>45352</v>
      </c>
      <c r="G18" s="9">
        <v>45717</v>
      </c>
      <c r="H18" s="8"/>
      <c r="I18" s="8" t="s">
        <v>1</v>
      </c>
      <c r="J18" s="9">
        <v>43891</v>
      </c>
      <c r="K18" s="9">
        <v>44256</v>
      </c>
      <c r="L18" s="9">
        <v>44621</v>
      </c>
      <c r="M18" s="9">
        <v>44986</v>
      </c>
      <c r="N18" s="9">
        <v>45352</v>
      </c>
      <c r="O18" s="9">
        <v>45717</v>
      </c>
    </row>
    <row r="19" spans="1:17" x14ac:dyDescent="0.25">
      <c r="A19" s="8" t="s">
        <v>20</v>
      </c>
      <c r="B19" s="8">
        <v>89</v>
      </c>
      <c r="C19" s="8">
        <v>89</v>
      </c>
      <c r="D19" s="8">
        <v>89</v>
      </c>
      <c r="E19" s="8">
        <v>89</v>
      </c>
      <c r="F19" s="8">
        <v>89</v>
      </c>
      <c r="G19" s="8">
        <v>89</v>
      </c>
      <c r="H19" s="8"/>
      <c r="I19" s="8" t="s">
        <v>20</v>
      </c>
      <c r="J19" s="10">
        <f>B19/$B$19</f>
        <v>1</v>
      </c>
      <c r="K19" s="10">
        <f>C19/$B$19</f>
        <v>1</v>
      </c>
      <c r="L19" s="10">
        <f>D19/$B$19</f>
        <v>1</v>
      </c>
      <c r="M19" s="10">
        <f>E19/$B$19</f>
        <v>1</v>
      </c>
      <c r="N19" s="10">
        <f>F19/$B$19</f>
        <v>1</v>
      </c>
      <c r="O19" s="10">
        <f>G19/$B$19</f>
        <v>1</v>
      </c>
    </row>
    <row r="20" spans="1:17" x14ac:dyDescent="0.25">
      <c r="A20" s="8" t="s">
        <v>21</v>
      </c>
      <c r="B20" s="8">
        <v>6580</v>
      </c>
      <c r="C20" s="8">
        <v>7408</v>
      </c>
      <c r="D20" s="8">
        <v>9214</v>
      </c>
      <c r="E20" s="8">
        <v>11762</v>
      </c>
      <c r="F20" s="8">
        <v>9304</v>
      </c>
      <c r="G20" s="8">
        <v>11535</v>
      </c>
      <c r="H20" s="8"/>
      <c r="I20" s="8" t="s">
        <v>21</v>
      </c>
      <c r="J20" s="10">
        <f>B20/$B$20</f>
        <v>1</v>
      </c>
      <c r="K20" s="10">
        <f>C20/$B$20</f>
        <v>1.1258358662613981</v>
      </c>
      <c r="L20" s="10">
        <f>D20/$B$20</f>
        <v>1.4003039513677811</v>
      </c>
      <c r="M20" s="10">
        <f>E20/$B$20</f>
        <v>1.7875379939209726</v>
      </c>
      <c r="N20" s="10">
        <f>F20/$B$20</f>
        <v>1.4139817629179332</v>
      </c>
      <c r="O20" s="10">
        <f>G20/$B$20</f>
        <v>1.7530395136778116</v>
      </c>
    </row>
    <row r="21" spans="1:17" x14ac:dyDescent="0.25">
      <c r="A21" s="8" t="s">
        <v>22</v>
      </c>
      <c r="B21" s="8">
        <v>3562</v>
      </c>
      <c r="C21" s="8">
        <v>5638</v>
      </c>
      <c r="D21" s="8">
        <v>7275</v>
      </c>
      <c r="E21" s="8">
        <v>9367</v>
      </c>
      <c r="F21" s="8">
        <v>15528</v>
      </c>
      <c r="G21" s="8">
        <v>20777</v>
      </c>
      <c r="H21" s="8"/>
      <c r="I21" s="8" t="s">
        <v>22</v>
      </c>
      <c r="J21" s="10">
        <f>B21/$B$21</f>
        <v>1</v>
      </c>
      <c r="K21" s="10">
        <f t="shared" ref="K21:O21" si="11">C21/$B$21</f>
        <v>1.5828186412128018</v>
      </c>
      <c r="L21" s="10">
        <f t="shared" si="11"/>
        <v>2.0423919146546883</v>
      </c>
      <c r="M21" s="10">
        <f t="shared" si="11"/>
        <v>2.6297024143739471</v>
      </c>
      <c r="N21" s="10">
        <f t="shared" si="11"/>
        <v>4.3593486805165638</v>
      </c>
      <c r="O21" s="10">
        <f t="shared" si="11"/>
        <v>5.8329590117911287</v>
      </c>
    </row>
    <row r="22" spans="1:17" x14ac:dyDescent="0.25">
      <c r="A22" s="8" t="s">
        <v>23</v>
      </c>
      <c r="B22" s="8">
        <v>3313</v>
      </c>
      <c r="C22" s="8">
        <v>3309</v>
      </c>
      <c r="D22" s="8">
        <v>4610</v>
      </c>
      <c r="E22" s="8">
        <v>5802</v>
      </c>
      <c r="F22" s="8">
        <v>6626</v>
      </c>
      <c r="G22" s="8">
        <v>8244</v>
      </c>
      <c r="H22" s="8"/>
      <c r="I22" s="8" t="s">
        <v>23</v>
      </c>
      <c r="J22" s="10">
        <f>B22/$B$22</f>
        <v>1</v>
      </c>
      <c r="K22" s="10">
        <f t="shared" ref="K22:O22" si="12">C22/$B$22</f>
        <v>0.99879263507395111</v>
      </c>
      <c r="L22" s="10">
        <f t="shared" si="12"/>
        <v>1.3914880772713554</v>
      </c>
      <c r="M22" s="10">
        <f t="shared" si="12"/>
        <v>1.751282825233927</v>
      </c>
      <c r="N22" s="10">
        <f t="shared" si="12"/>
        <v>2</v>
      </c>
      <c r="O22" s="10">
        <f t="shared" si="12"/>
        <v>2.4883791125867796</v>
      </c>
    </row>
    <row r="23" spans="1:17" x14ac:dyDescent="0.25">
      <c r="A23" s="8" t="s">
        <v>24</v>
      </c>
      <c r="B23" s="8">
        <v>13544</v>
      </c>
      <c r="C23" s="8">
        <v>16444</v>
      </c>
      <c r="D23" s="8">
        <v>21188</v>
      </c>
      <c r="E23" s="8">
        <v>27020</v>
      </c>
      <c r="F23" s="8">
        <v>31547</v>
      </c>
      <c r="G23" s="8">
        <v>40645</v>
      </c>
      <c r="H23" s="8"/>
      <c r="I23" s="8" t="s">
        <v>24</v>
      </c>
      <c r="J23" s="10">
        <f>B23/$B$23</f>
        <v>1</v>
      </c>
      <c r="K23" s="10">
        <f t="shared" ref="K23:O23" si="13">C23/$B$23</f>
        <v>1.2141169521559363</v>
      </c>
      <c r="L23" s="10">
        <f t="shared" si="13"/>
        <v>1.5643827525103366</v>
      </c>
      <c r="M23" s="10">
        <f t="shared" si="13"/>
        <v>1.9949793266391023</v>
      </c>
      <c r="N23" s="10">
        <f t="shared" si="13"/>
        <v>2.3292232722976962</v>
      </c>
      <c r="O23" s="10">
        <f t="shared" si="13"/>
        <v>3.0009598346131128</v>
      </c>
    </row>
    <row r="24" spans="1:17" x14ac:dyDescent="0.25">
      <c r="A24" s="8"/>
      <c r="B24" s="8"/>
      <c r="C24" s="8"/>
      <c r="D24" s="8"/>
      <c r="E24" s="8"/>
      <c r="F24" s="8"/>
      <c r="G24" s="8"/>
      <c r="H24" s="8"/>
      <c r="I24" s="8"/>
      <c r="J24" s="10"/>
      <c r="K24" s="10"/>
      <c r="L24" s="10"/>
      <c r="M24" s="10"/>
      <c r="N24" s="10"/>
      <c r="O24" s="10"/>
    </row>
    <row r="25" spans="1:17" x14ac:dyDescent="0.25">
      <c r="A25" s="8" t="s">
        <v>25</v>
      </c>
      <c r="B25" s="8">
        <v>2633</v>
      </c>
      <c r="C25" s="8">
        <v>2523</v>
      </c>
      <c r="D25" s="8">
        <v>2544</v>
      </c>
      <c r="E25" s="8">
        <v>2998</v>
      </c>
      <c r="F25" s="8">
        <v>3709</v>
      </c>
      <c r="G25" s="8">
        <v>4062</v>
      </c>
      <c r="H25" s="8"/>
      <c r="I25" s="8" t="s">
        <v>25</v>
      </c>
      <c r="J25" s="10">
        <f>B25/$B$25</f>
        <v>1</v>
      </c>
      <c r="K25" s="10">
        <f t="shared" ref="K25:O25" si="14">C25/$B$25</f>
        <v>0.95822255981769844</v>
      </c>
      <c r="L25" s="10">
        <f t="shared" si="14"/>
        <v>0.96619825294341055</v>
      </c>
      <c r="M25" s="10">
        <f t="shared" si="14"/>
        <v>1.1386251424230915</v>
      </c>
      <c r="N25" s="10">
        <f t="shared" si="14"/>
        <v>1.4086593239650589</v>
      </c>
      <c r="O25" s="10">
        <f t="shared" si="14"/>
        <v>1.5427269274591719</v>
      </c>
    </row>
    <row r="26" spans="1:17" x14ac:dyDescent="0.25">
      <c r="A26" s="8" t="s">
        <v>26</v>
      </c>
      <c r="B26" s="8">
        <v>18</v>
      </c>
      <c r="C26" s="8">
        <v>32</v>
      </c>
      <c r="D26" s="8">
        <v>85</v>
      </c>
      <c r="E26" s="8">
        <v>144</v>
      </c>
      <c r="F26" s="8">
        <v>97</v>
      </c>
      <c r="G26" s="8">
        <v>105</v>
      </c>
      <c r="H26" s="8"/>
      <c r="I26" s="8" t="s">
        <v>26</v>
      </c>
      <c r="J26" s="10">
        <f>B26/$B$26</f>
        <v>1</v>
      </c>
      <c r="K26" s="10">
        <f t="shared" ref="K26:O26" si="15">C26/$B$26</f>
        <v>1.7777777777777777</v>
      </c>
      <c r="L26" s="10">
        <f t="shared" si="15"/>
        <v>4.7222222222222223</v>
      </c>
      <c r="M26" s="10">
        <f t="shared" si="15"/>
        <v>8</v>
      </c>
      <c r="N26" s="10">
        <f t="shared" si="15"/>
        <v>5.3888888888888893</v>
      </c>
      <c r="O26" s="10">
        <f t="shared" si="15"/>
        <v>5.833333333333333</v>
      </c>
    </row>
    <row r="27" spans="1:17" x14ac:dyDescent="0.25">
      <c r="A27" s="8" t="s">
        <v>27</v>
      </c>
      <c r="B27" s="8">
        <v>158</v>
      </c>
      <c r="C27" s="8">
        <v>2824</v>
      </c>
      <c r="D27" s="8">
        <v>294</v>
      </c>
      <c r="E27" s="8">
        <v>2515</v>
      </c>
      <c r="F27" s="8">
        <v>2345</v>
      </c>
      <c r="G27" s="8">
        <v>1988</v>
      </c>
      <c r="H27" s="8"/>
      <c r="I27" s="8" t="s">
        <v>27</v>
      </c>
      <c r="J27" s="10">
        <f>B27/$B$27</f>
        <v>1</v>
      </c>
      <c r="K27" s="10">
        <f t="shared" ref="K27:O27" si="16">C27/$B$27</f>
        <v>17.873417721518987</v>
      </c>
      <c r="L27" s="10">
        <f t="shared" si="16"/>
        <v>1.860759493670886</v>
      </c>
      <c r="M27" s="10">
        <f t="shared" si="16"/>
        <v>15.917721518987342</v>
      </c>
      <c r="N27" s="10">
        <f t="shared" si="16"/>
        <v>14.841772151898734</v>
      </c>
      <c r="O27" s="10">
        <f t="shared" si="16"/>
        <v>12.582278481012658</v>
      </c>
    </row>
    <row r="28" spans="1:17" x14ac:dyDescent="0.25">
      <c r="A28" s="8" t="s">
        <v>28</v>
      </c>
      <c r="B28" s="8">
        <v>10735</v>
      </c>
      <c r="C28" s="8">
        <v>11065</v>
      </c>
      <c r="D28" s="8">
        <v>18265</v>
      </c>
      <c r="E28" s="8">
        <v>21363</v>
      </c>
      <c r="F28" s="8">
        <v>25396</v>
      </c>
      <c r="G28" s="8">
        <v>34490</v>
      </c>
      <c r="H28" s="8"/>
      <c r="I28" s="8" t="s">
        <v>28</v>
      </c>
      <c r="J28" s="10">
        <f>B28/$B$28</f>
        <v>1</v>
      </c>
      <c r="K28" s="10">
        <f t="shared" ref="K28:O28" si="17">C28/$B$28</f>
        <v>1.0307405682347461</v>
      </c>
      <c r="L28" s="10">
        <f t="shared" si="17"/>
        <v>1.7014438751746623</v>
      </c>
      <c r="M28" s="10">
        <f t="shared" si="17"/>
        <v>1.9900326036329763</v>
      </c>
      <c r="N28" s="10">
        <f t="shared" si="17"/>
        <v>2.3657196087564043</v>
      </c>
      <c r="O28" s="10">
        <f t="shared" si="17"/>
        <v>3.2128551467163482</v>
      </c>
    </row>
    <row r="29" spans="1:17" x14ac:dyDescent="0.25">
      <c r="A29" s="8" t="s">
        <v>24</v>
      </c>
      <c r="B29" s="8">
        <v>13544</v>
      </c>
      <c r="C29" s="8">
        <v>16444</v>
      </c>
      <c r="D29" s="8">
        <v>21188</v>
      </c>
      <c r="E29" s="8">
        <v>27020</v>
      </c>
      <c r="F29" s="8">
        <v>31547</v>
      </c>
      <c r="G29" s="8">
        <v>40645</v>
      </c>
      <c r="H29" s="8"/>
      <c r="I29" s="8" t="s">
        <v>24</v>
      </c>
      <c r="J29" s="10">
        <f>B29/$B$29</f>
        <v>1</v>
      </c>
      <c r="K29" s="10">
        <f t="shared" ref="K29:O29" si="18">C29/$B$29</f>
        <v>1.2141169521559363</v>
      </c>
      <c r="L29" s="10">
        <f t="shared" si="18"/>
        <v>1.5643827525103366</v>
      </c>
      <c r="M29" s="10">
        <f t="shared" si="18"/>
        <v>1.9949793266391023</v>
      </c>
      <c r="N29" s="10">
        <f t="shared" si="18"/>
        <v>2.3292232722976962</v>
      </c>
      <c r="O29" s="10">
        <f t="shared" si="18"/>
        <v>3.0009598346131128</v>
      </c>
    </row>
  </sheetData>
  <mergeCells count="4">
    <mergeCell ref="A17:O17"/>
    <mergeCell ref="A1:O1"/>
    <mergeCell ref="A2:O2"/>
    <mergeCell ref="A3:O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12981-D9E7-4DBC-978E-F99A1D5F17FF}">
  <dimension ref="A1:Q30"/>
  <sheetViews>
    <sheetView tabSelected="1" workbookViewId="0">
      <selection activeCell="I19" sqref="I19"/>
    </sheetView>
  </sheetViews>
  <sheetFormatPr defaultRowHeight="15" x14ac:dyDescent="0.25"/>
  <cols>
    <col min="1" max="1" width="22.85546875" bestFit="1" customWidth="1"/>
    <col min="2" max="2" width="12.7109375" bestFit="1" customWidth="1"/>
    <col min="3" max="3" width="12" bestFit="1" customWidth="1"/>
    <col min="4" max="4" width="11.7109375" bestFit="1" customWidth="1"/>
    <col min="5" max="5" width="12.7109375" bestFit="1" customWidth="1"/>
    <col min="6" max="6" width="14.140625" bestFit="1" customWidth="1"/>
    <col min="7" max="7" width="14.5703125" bestFit="1" customWidth="1"/>
  </cols>
  <sheetData>
    <row r="1" spans="1:15" x14ac:dyDescent="0.25">
      <c r="A1" s="16" t="s">
        <v>17</v>
      </c>
      <c r="B1" s="16"/>
      <c r="C1" s="16"/>
      <c r="D1" s="16"/>
      <c r="E1" s="16"/>
      <c r="F1" s="16"/>
      <c r="G1" s="16"/>
    </row>
    <row r="2" spans="1:15" x14ac:dyDescent="0.25">
      <c r="A2" s="12" t="s">
        <v>30</v>
      </c>
      <c r="B2" s="12"/>
      <c r="C2" s="12"/>
      <c r="D2" s="12"/>
      <c r="E2" s="12"/>
      <c r="F2" s="12"/>
      <c r="G2" s="12"/>
      <c r="H2" s="15"/>
      <c r="I2" s="15"/>
      <c r="J2" s="15"/>
      <c r="K2" s="15"/>
      <c r="L2" s="15"/>
      <c r="M2" s="15"/>
      <c r="N2" s="15"/>
      <c r="O2" s="15"/>
    </row>
    <row r="3" spans="1:15" x14ac:dyDescent="0.25">
      <c r="A3" s="17"/>
      <c r="B3" s="17"/>
      <c r="C3" s="17"/>
      <c r="D3" s="18" t="s">
        <v>14</v>
      </c>
      <c r="E3" s="18"/>
      <c r="F3" s="19" t="s">
        <v>33</v>
      </c>
      <c r="G3" s="19"/>
    </row>
    <row r="4" spans="1:15" x14ac:dyDescent="0.25">
      <c r="A4" s="17" t="s">
        <v>1</v>
      </c>
      <c r="B4" s="20">
        <v>45352</v>
      </c>
      <c r="C4" s="20">
        <v>45717</v>
      </c>
      <c r="D4" s="21" t="s">
        <v>15</v>
      </c>
      <c r="E4" s="21" t="s">
        <v>16</v>
      </c>
      <c r="F4" s="22" t="s">
        <v>19</v>
      </c>
      <c r="G4" s="22" t="s">
        <v>18</v>
      </c>
    </row>
    <row r="5" spans="1:15" x14ac:dyDescent="0.25">
      <c r="A5" s="17" t="s">
        <v>2</v>
      </c>
      <c r="B5" s="17">
        <v>229170.78</v>
      </c>
      <c r="C5" s="17">
        <v>218542.51</v>
      </c>
      <c r="D5" s="17">
        <f>C5-B5</f>
        <v>-10628.26999999999</v>
      </c>
      <c r="E5" s="23">
        <f>(D5/B5)*100</f>
        <v>-4.6377073028245528</v>
      </c>
      <c r="F5" s="22">
        <f xml:space="preserve"> B5/$B$5</f>
        <v>1</v>
      </c>
      <c r="G5" s="23">
        <f>C5/$C$5</f>
        <v>1</v>
      </c>
    </row>
    <row r="6" spans="1:15" x14ac:dyDescent="0.25">
      <c r="A6" s="17" t="s">
        <v>3</v>
      </c>
      <c r="B6" s="17">
        <v>206922.86000000002</v>
      </c>
      <c r="C6" s="17">
        <v>193244.06000000003</v>
      </c>
      <c r="D6" s="17">
        <f t="shared" ref="D6:D16" si="0">C6-B6</f>
        <v>-13678.799999999988</v>
      </c>
      <c r="E6" s="23">
        <f t="shared" ref="E6:E16" si="1">(D6/B6)*100</f>
        <v>-6.6105794207561157</v>
      </c>
      <c r="F6" s="22">
        <f t="shared" ref="F6:F16" si="2" xml:space="preserve"> B6/$B$5</f>
        <v>0.90291990977209236</v>
      </c>
      <c r="G6" s="23">
        <f t="shared" ref="G6:G16" si="3">C6/$C$5</f>
        <v>0.88424014165482046</v>
      </c>
    </row>
    <row r="7" spans="1:15" x14ac:dyDescent="0.25">
      <c r="A7" s="17" t="s">
        <v>4</v>
      </c>
      <c r="B7" s="17">
        <v>22247.919999999984</v>
      </c>
      <c r="C7" s="17">
        <v>25298.449999999983</v>
      </c>
      <c r="D7" s="17">
        <f t="shared" si="0"/>
        <v>3050.5299999999988</v>
      </c>
      <c r="E7" s="23">
        <f t="shared" si="1"/>
        <v>13.711528987878422</v>
      </c>
      <c r="F7" s="22">
        <f t="shared" si="2"/>
        <v>9.7080090227907687E-2</v>
      </c>
      <c r="G7" s="23">
        <f t="shared" si="3"/>
        <v>0.11575985834517953</v>
      </c>
    </row>
    <row r="8" spans="1:15" x14ac:dyDescent="0.25">
      <c r="A8" s="17" t="s">
        <v>5</v>
      </c>
      <c r="B8" s="17">
        <v>-6005.23</v>
      </c>
      <c r="C8" s="17">
        <v>876.7</v>
      </c>
      <c r="D8" s="17">
        <f t="shared" si="0"/>
        <v>6881.9299999999994</v>
      </c>
      <c r="E8" s="23">
        <f t="shared" si="1"/>
        <v>-114.59894125620499</v>
      </c>
      <c r="F8" s="22">
        <f t="shared" si="2"/>
        <v>-2.6204169658976591E-2</v>
      </c>
      <c r="G8" s="23">
        <f t="shared" si="3"/>
        <v>4.0115765120479303E-3</v>
      </c>
    </row>
    <row r="9" spans="1:15" x14ac:dyDescent="0.25">
      <c r="A9" s="17" t="s">
        <v>6</v>
      </c>
      <c r="B9" s="17">
        <v>9882.16</v>
      </c>
      <c r="C9" s="17">
        <v>10421.33</v>
      </c>
      <c r="D9" s="17">
        <f t="shared" si="0"/>
        <v>539.17000000000007</v>
      </c>
      <c r="E9" s="23">
        <f t="shared" si="1"/>
        <v>5.4559934265383285</v>
      </c>
      <c r="F9" s="22">
        <f t="shared" si="2"/>
        <v>4.3121378737725639E-2</v>
      </c>
      <c r="G9" s="23">
        <f t="shared" si="3"/>
        <v>4.768559672898421E-2</v>
      </c>
    </row>
    <row r="10" spans="1:15" x14ac:dyDescent="0.25">
      <c r="A10" s="17" t="s">
        <v>7</v>
      </c>
      <c r="B10" s="17">
        <v>7507.57</v>
      </c>
      <c r="C10" s="17">
        <v>7340.95</v>
      </c>
      <c r="D10" s="17">
        <f t="shared" si="0"/>
        <v>-166.61999999999989</v>
      </c>
      <c r="E10" s="23">
        <f t="shared" si="1"/>
        <v>-2.2193599260479742</v>
      </c>
      <c r="F10" s="22">
        <f t="shared" si="2"/>
        <v>3.2759717447398834E-2</v>
      </c>
      <c r="G10" s="23">
        <f t="shared" si="3"/>
        <v>3.3590490014963219E-2</v>
      </c>
    </row>
    <row r="11" spans="1:15" x14ac:dyDescent="0.25">
      <c r="A11" s="17" t="s">
        <v>8</v>
      </c>
      <c r="B11" s="17">
        <v>-1147.04</v>
      </c>
      <c r="C11" s="17">
        <v>8412.8700000000008</v>
      </c>
      <c r="D11" s="17">
        <f t="shared" si="0"/>
        <v>9559.91</v>
      </c>
      <c r="E11" s="23">
        <f t="shared" si="1"/>
        <v>-833.44172827451541</v>
      </c>
      <c r="F11" s="22">
        <f t="shared" si="2"/>
        <v>-5.0051756161933036E-3</v>
      </c>
      <c r="G11" s="23">
        <f t="shared" si="3"/>
        <v>3.8495348113280113E-2</v>
      </c>
    </row>
    <row r="12" spans="1:15" x14ac:dyDescent="0.25">
      <c r="A12" s="17" t="s">
        <v>9</v>
      </c>
      <c r="B12" s="17">
        <v>3762.57</v>
      </c>
      <c r="C12" s="17">
        <v>5239.09</v>
      </c>
      <c r="D12" s="17">
        <f t="shared" si="0"/>
        <v>1476.52</v>
      </c>
      <c r="E12" s="23">
        <f t="shared" si="1"/>
        <v>39.242326388612035</v>
      </c>
      <c r="F12" s="22">
        <f t="shared" si="2"/>
        <v>1.6418192581096072E-2</v>
      </c>
      <c r="G12" s="23">
        <f t="shared" si="3"/>
        <v>2.3972864592797072E-2</v>
      </c>
    </row>
    <row r="13" spans="1:15" x14ac:dyDescent="0.25">
      <c r="A13" s="17" t="s">
        <v>10</v>
      </c>
      <c r="B13" s="17">
        <v>-4437.4399999999996</v>
      </c>
      <c r="C13" s="17">
        <v>3420.51</v>
      </c>
      <c r="D13" s="17">
        <f t="shared" si="0"/>
        <v>7857.95</v>
      </c>
      <c r="E13" s="23">
        <f t="shared" si="1"/>
        <v>-177.08295774140046</v>
      </c>
      <c r="F13" s="22">
        <f t="shared" si="2"/>
        <v>-1.9363026996722703E-2</v>
      </c>
      <c r="G13" s="23">
        <f t="shared" si="3"/>
        <v>1.5651462957938938E-2</v>
      </c>
    </row>
    <row r="14" spans="1:15" x14ac:dyDescent="0.25">
      <c r="A14" s="17" t="s">
        <v>11</v>
      </c>
      <c r="B14" s="17">
        <v>-3.5546441302519325</v>
      </c>
      <c r="C14" s="17">
        <v>2.7400248327792691</v>
      </c>
      <c r="D14" s="17">
        <f t="shared" si="0"/>
        <v>6.2946689630312012</v>
      </c>
      <c r="E14" s="23">
        <f t="shared" si="1"/>
        <v>-177.08295774140046</v>
      </c>
      <c r="F14" s="22">
        <f t="shared" si="2"/>
        <v>-1.5510895980071859E-5</v>
      </c>
      <c r="G14" s="23">
        <f t="shared" si="3"/>
        <v>1.2537720156958337E-5</v>
      </c>
    </row>
    <row r="15" spans="1:15" x14ac:dyDescent="0.25">
      <c r="A15" s="17" t="s">
        <v>12</v>
      </c>
      <c r="B15" s="17">
        <v>-43.844051412526142</v>
      </c>
      <c r="C15" s="17">
        <v>56.291460630139944</v>
      </c>
      <c r="D15" s="17">
        <f t="shared" si="0"/>
        <v>100.13551204266608</v>
      </c>
      <c r="E15" s="23">
        <f t="shared" si="1"/>
        <v>-228.39018935658305</v>
      </c>
      <c r="F15" s="22">
        <f t="shared" si="2"/>
        <v>-1.9131606312343199E-4</v>
      </c>
      <c r="G15" s="23">
        <f t="shared" si="3"/>
        <v>2.5757670958451032E-4</v>
      </c>
    </row>
    <row r="16" spans="1:15" x14ac:dyDescent="0.25">
      <c r="A16" s="24" t="s">
        <v>13</v>
      </c>
      <c r="B16" s="24">
        <v>155.85</v>
      </c>
      <c r="C16" s="24">
        <v>154.24</v>
      </c>
      <c r="D16" s="24">
        <f t="shared" si="0"/>
        <v>-1.6099999999999852</v>
      </c>
      <c r="E16" s="25">
        <f t="shared" si="1"/>
        <v>-1.0330445941610429</v>
      </c>
      <c r="F16" s="26">
        <f t="shared" si="2"/>
        <v>6.800605208046156E-4</v>
      </c>
      <c r="G16" s="25">
        <f t="shared" si="3"/>
        <v>7.0576658060713228E-4</v>
      </c>
    </row>
    <row r="17" spans="1:17" s="27" customFormat="1" x14ac:dyDescent="0.25">
      <c r="E17" s="28"/>
      <c r="F17" s="29"/>
      <c r="G17" s="28"/>
    </row>
    <row r="18" spans="1:17" x14ac:dyDescent="0.25">
      <c r="A18" s="11" t="s">
        <v>29</v>
      </c>
      <c r="B18" s="11"/>
      <c r="C18" s="11"/>
      <c r="D18" s="11"/>
      <c r="E18" s="11"/>
      <c r="F18" s="11"/>
      <c r="G18" s="11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1:17" x14ac:dyDescent="0.25">
      <c r="A19" s="17"/>
      <c r="B19" s="17"/>
      <c r="C19" s="17"/>
      <c r="D19" s="18" t="s">
        <v>14</v>
      </c>
      <c r="E19" s="18"/>
      <c r="F19" s="19" t="s">
        <v>33</v>
      </c>
      <c r="G19" s="19"/>
    </row>
    <row r="20" spans="1:17" x14ac:dyDescent="0.25">
      <c r="A20" s="17" t="s">
        <v>1</v>
      </c>
      <c r="B20" s="20">
        <v>45352</v>
      </c>
      <c r="C20" s="20">
        <v>45717</v>
      </c>
      <c r="D20" s="21" t="s">
        <v>15</v>
      </c>
      <c r="E20" s="21" t="s">
        <v>16</v>
      </c>
      <c r="F20" s="22" t="s">
        <v>19</v>
      </c>
      <c r="G20" s="22" t="s">
        <v>18</v>
      </c>
    </row>
    <row r="21" spans="1:17" x14ac:dyDescent="0.25">
      <c r="A21" s="17" t="s">
        <v>20</v>
      </c>
      <c r="B21" s="17">
        <v>1247.44</v>
      </c>
      <c r="C21" s="17">
        <v>1247.44</v>
      </c>
      <c r="D21" s="17">
        <f>C21-B21</f>
        <v>0</v>
      </c>
      <c r="E21" s="23">
        <f>(D21/B21)*100</f>
        <v>0</v>
      </c>
      <c r="F21" s="23">
        <f>B21/$B$21</f>
        <v>1</v>
      </c>
      <c r="G21" s="23">
        <f>C21/$C$21</f>
        <v>1</v>
      </c>
    </row>
    <row r="22" spans="1:17" x14ac:dyDescent="0.25">
      <c r="A22" s="17" t="s">
        <v>21</v>
      </c>
      <c r="B22" s="17">
        <v>90788.32</v>
      </c>
      <c r="C22" s="17">
        <v>89922.19</v>
      </c>
      <c r="D22" s="17">
        <f t="shared" ref="D22:D30" si="4">C22-B22</f>
        <v>-866.13000000000466</v>
      </c>
      <c r="E22" s="23">
        <f t="shared" ref="E22:E30" si="5">(D22/B22)*100</f>
        <v>-0.95401038371456215</v>
      </c>
      <c r="F22" s="23">
        <f t="shared" ref="F22:F30" si="6">B22/$B$21</f>
        <v>72.77970884371193</v>
      </c>
      <c r="G22" s="23">
        <f t="shared" ref="G22:G30" si="7">C22/$C$21</f>
        <v>72.085382864105682</v>
      </c>
    </row>
    <row r="23" spans="1:17" x14ac:dyDescent="0.25">
      <c r="A23" s="17" t="s">
        <v>22</v>
      </c>
      <c r="B23" s="17">
        <v>87082.12</v>
      </c>
      <c r="C23" s="17">
        <v>94801.05</v>
      </c>
      <c r="D23" s="17">
        <f t="shared" si="4"/>
        <v>7718.9300000000076</v>
      </c>
      <c r="E23" s="23">
        <f t="shared" si="5"/>
        <v>8.863966563974337</v>
      </c>
      <c r="F23" s="23">
        <f t="shared" si="6"/>
        <v>69.808664144167253</v>
      </c>
      <c r="G23" s="23">
        <f t="shared" si="7"/>
        <v>75.996480792663377</v>
      </c>
    </row>
    <row r="24" spans="1:17" x14ac:dyDescent="0.25">
      <c r="A24" s="17" t="s">
        <v>23</v>
      </c>
      <c r="B24" s="17">
        <v>90194.54</v>
      </c>
      <c r="C24" s="17">
        <v>89487.9</v>
      </c>
      <c r="D24" s="17">
        <f t="shared" si="4"/>
        <v>-706.63999999999942</v>
      </c>
      <c r="E24" s="23">
        <f t="shared" si="5"/>
        <v>-0.7834620587898109</v>
      </c>
      <c r="F24" s="23">
        <f t="shared" si="6"/>
        <v>72.303709998076044</v>
      </c>
      <c r="G24" s="23">
        <f t="shared" si="7"/>
        <v>71.737237863143704</v>
      </c>
    </row>
    <row r="25" spans="1:17" x14ac:dyDescent="0.25">
      <c r="A25" s="17" t="s">
        <v>24</v>
      </c>
      <c r="B25" s="17">
        <v>269312.42</v>
      </c>
      <c r="C25" s="17">
        <v>275458.58</v>
      </c>
      <c r="D25" s="17">
        <f t="shared" si="4"/>
        <v>6146.1600000000326</v>
      </c>
      <c r="E25" s="23">
        <f t="shared" si="5"/>
        <v>2.2821673059118601</v>
      </c>
      <c r="F25" s="23">
        <f t="shared" si="6"/>
        <v>215.89208298595523</v>
      </c>
      <c r="G25" s="23">
        <f t="shared" si="7"/>
        <v>220.81910151991278</v>
      </c>
    </row>
    <row r="26" spans="1:17" x14ac:dyDescent="0.25">
      <c r="A26" s="17" t="s">
        <v>25</v>
      </c>
      <c r="B26" s="17">
        <v>148814.38</v>
      </c>
      <c r="C26" s="17">
        <v>150914.06</v>
      </c>
      <c r="D26" s="17">
        <f>C26-B26</f>
        <v>2099.679999999993</v>
      </c>
      <c r="E26" s="23">
        <f t="shared" si="5"/>
        <v>1.4109389159837866</v>
      </c>
      <c r="F26" s="23">
        <f t="shared" si="6"/>
        <v>119.29582184313473</v>
      </c>
      <c r="G26" s="23">
        <f t="shared" si="7"/>
        <v>120.97901301866222</v>
      </c>
    </row>
    <row r="27" spans="1:17" x14ac:dyDescent="0.25">
      <c r="A27" s="17" t="s">
        <v>26</v>
      </c>
      <c r="B27" s="17">
        <v>34355.53</v>
      </c>
      <c r="C27" s="17">
        <v>41622.35</v>
      </c>
      <c r="D27" s="17">
        <f t="shared" si="4"/>
        <v>7266.82</v>
      </c>
      <c r="E27" s="23">
        <f t="shared" si="5"/>
        <v>21.151820391069499</v>
      </c>
      <c r="F27" s="23">
        <f t="shared" si="6"/>
        <v>27.540827614955425</v>
      </c>
      <c r="G27" s="23">
        <f t="shared" si="7"/>
        <v>33.366214006284871</v>
      </c>
    </row>
    <row r="28" spans="1:17" x14ac:dyDescent="0.25">
      <c r="A28" s="17" t="s">
        <v>27</v>
      </c>
      <c r="B28" s="17">
        <v>6257.57</v>
      </c>
      <c r="C28" s="17">
        <v>6194.11</v>
      </c>
      <c r="D28" s="17">
        <f t="shared" si="4"/>
        <v>-63.460000000000036</v>
      </c>
      <c r="E28" s="23">
        <f t="shared" si="5"/>
        <v>-1.0141316837046974</v>
      </c>
      <c r="F28" s="23">
        <f t="shared" si="6"/>
        <v>5.0163294426986464</v>
      </c>
      <c r="G28" s="23">
        <f t="shared" si="7"/>
        <v>4.9654572564612325</v>
      </c>
    </row>
    <row r="29" spans="1:17" x14ac:dyDescent="0.25">
      <c r="A29" s="17" t="s">
        <v>28</v>
      </c>
      <c r="B29" s="17">
        <v>79884.94</v>
      </c>
      <c r="C29" s="17">
        <v>76728.06</v>
      </c>
      <c r="D29" s="17">
        <f t="shared" si="4"/>
        <v>-3156.8800000000047</v>
      </c>
      <c r="E29" s="23">
        <f t="shared" si="5"/>
        <v>-3.9517836528387007</v>
      </c>
      <c r="F29" s="23">
        <f t="shared" si="6"/>
        <v>64.039104085166414</v>
      </c>
      <c r="G29" s="23">
        <f t="shared" si="7"/>
        <v>61.50841723850445</v>
      </c>
    </row>
    <row r="30" spans="1:17" x14ac:dyDescent="0.25">
      <c r="A30" s="17" t="s">
        <v>24</v>
      </c>
      <c r="B30" s="17">
        <v>269312.42</v>
      </c>
      <c r="C30" s="17">
        <v>275458.58</v>
      </c>
      <c r="D30" s="17">
        <f t="shared" si="4"/>
        <v>6146.1600000000326</v>
      </c>
      <c r="E30" s="23">
        <f t="shared" si="5"/>
        <v>2.2821673059118601</v>
      </c>
      <c r="F30" s="23">
        <f t="shared" si="6"/>
        <v>215.89208298595523</v>
      </c>
      <c r="G30" s="23">
        <f t="shared" si="7"/>
        <v>220.81910151991278</v>
      </c>
    </row>
  </sheetData>
  <mergeCells count="7">
    <mergeCell ref="A2:G2"/>
    <mergeCell ref="D3:E3"/>
    <mergeCell ref="D19:E19"/>
    <mergeCell ref="A1:G1"/>
    <mergeCell ref="F3:G3"/>
    <mergeCell ref="F19:G19"/>
    <mergeCell ref="A18:G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D7EE5-C65C-4F29-ABC5-22053CF968D8}">
  <dimension ref="A1:Q29"/>
  <sheetViews>
    <sheetView workbookViewId="0">
      <selection activeCell="S5" sqref="S5"/>
    </sheetView>
  </sheetViews>
  <sheetFormatPr defaultRowHeight="15" x14ac:dyDescent="0.25"/>
  <cols>
    <col min="1" max="1" width="22.85546875" bestFit="1" customWidth="1"/>
    <col min="11" max="11" width="22.85546875" bestFit="1" customWidth="1"/>
    <col min="12" max="13" width="9.28515625" bestFit="1" customWidth="1"/>
    <col min="14" max="15" width="9.85546875" bestFit="1" customWidth="1"/>
    <col min="16" max="17" width="9.28515625" bestFit="1" customWidth="1"/>
  </cols>
  <sheetData>
    <row r="1" spans="1:17" x14ac:dyDescent="0.25">
      <c r="A1" s="45" t="str">
        <f>'[1]Profit &amp; Loss'!A1</f>
        <v>TATA STEEL LTD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7"/>
    </row>
    <row r="2" spans="1:17" x14ac:dyDescent="0.25">
      <c r="A2" s="2" t="s">
        <v>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42" t="s">
        <v>30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4"/>
    </row>
    <row r="4" spans="1:17" x14ac:dyDescent="0.25">
      <c r="A4" s="3" t="s">
        <v>1</v>
      </c>
      <c r="B4" s="4">
        <v>43921</v>
      </c>
      <c r="C4" s="4">
        <v>44286</v>
      </c>
      <c r="D4" s="4">
        <v>44651</v>
      </c>
      <c r="E4" s="4">
        <v>45016</v>
      </c>
      <c r="F4" s="4">
        <v>45382</v>
      </c>
      <c r="G4" s="4">
        <v>45747</v>
      </c>
      <c r="H4" s="3"/>
      <c r="I4" s="3"/>
      <c r="J4" s="3"/>
      <c r="K4" s="3" t="s">
        <v>1</v>
      </c>
      <c r="L4" s="4">
        <v>43921</v>
      </c>
      <c r="M4" s="4">
        <v>44286</v>
      </c>
      <c r="N4" s="4">
        <v>44651</v>
      </c>
      <c r="O4" s="4">
        <v>45016</v>
      </c>
      <c r="P4" s="4">
        <v>45382</v>
      </c>
      <c r="Q4" s="4">
        <v>45747</v>
      </c>
    </row>
    <row r="5" spans="1:17" x14ac:dyDescent="0.25">
      <c r="A5" s="3" t="s">
        <v>2</v>
      </c>
      <c r="B5" s="3">
        <v>139816.65</v>
      </c>
      <c r="C5" s="3">
        <v>156294.18</v>
      </c>
      <c r="D5" s="3">
        <v>243959.17</v>
      </c>
      <c r="E5" s="3">
        <v>243352.69</v>
      </c>
      <c r="F5" s="3">
        <v>229170.78</v>
      </c>
      <c r="G5" s="3">
        <v>218542.51</v>
      </c>
      <c r="H5" s="3"/>
      <c r="I5" s="3"/>
      <c r="J5" s="3"/>
      <c r="K5" s="3" t="s">
        <v>2</v>
      </c>
      <c r="L5" s="5">
        <f>B5/$B$5</f>
        <v>1</v>
      </c>
      <c r="M5" s="5">
        <f>C5/$B$5</f>
        <v>1.117850985558587</v>
      </c>
      <c r="N5" s="5">
        <f>D5/$B$5</f>
        <v>1.7448506311658878</v>
      </c>
      <c r="O5" s="5">
        <f>E5/$B$5</f>
        <v>1.7405129503531949</v>
      </c>
      <c r="P5" s="5">
        <f>F5/$B$5</f>
        <v>1.6390807532579275</v>
      </c>
      <c r="Q5" s="5">
        <f>G5/$B$5</f>
        <v>1.5630649854648928</v>
      </c>
    </row>
    <row r="6" spans="1:17" x14ac:dyDescent="0.25">
      <c r="A6" s="3" t="s">
        <v>3</v>
      </c>
      <c r="B6" s="3">
        <v>122353.59</v>
      </c>
      <c r="C6" s="3">
        <v>125789.92</v>
      </c>
      <c r="D6" s="3">
        <v>180469.21999999997</v>
      </c>
      <c r="E6" s="3">
        <v>211052.52999999997</v>
      </c>
      <c r="F6" s="3">
        <v>206922.86000000002</v>
      </c>
      <c r="G6" s="3">
        <v>193244.06000000003</v>
      </c>
      <c r="H6" s="3"/>
      <c r="I6" s="3"/>
      <c r="J6" s="3"/>
      <c r="K6" s="3" t="s">
        <v>3</v>
      </c>
      <c r="L6" s="5">
        <f>B6/$B$6</f>
        <v>1</v>
      </c>
      <c r="M6" s="5">
        <f t="shared" ref="M6:Q6" si="0">C6/$B$6</f>
        <v>1.0280852404902872</v>
      </c>
      <c r="N6" s="5">
        <f t="shared" si="0"/>
        <v>1.4749809956536624</v>
      </c>
      <c r="O6" s="5">
        <f t="shared" si="0"/>
        <v>1.7249394153453117</v>
      </c>
      <c r="P6" s="5">
        <f t="shared" si="0"/>
        <v>1.6911874837509877</v>
      </c>
      <c r="Q6" s="5">
        <f t="shared" si="0"/>
        <v>1.5793901919837419</v>
      </c>
    </row>
    <row r="7" spans="1:17" x14ac:dyDescent="0.25">
      <c r="A7" s="3" t="s">
        <v>4</v>
      </c>
      <c r="B7" s="3">
        <v>17463.059999999998</v>
      </c>
      <c r="C7" s="3">
        <v>30504.259999999995</v>
      </c>
      <c r="D7" s="3">
        <v>63489.950000000041</v>
      </c>
      <c r="E7" s="3">
        <v>32300.160000000033</v>
      </c>
      <c r="F7" s="3">
        <v>22247.919999999984</v>
      </c>
      <c r="G7" s="3">
        <v>25298.449999999983</v>
      </c>
      <c r="H7" s="3"/>
      <c r="I7" s="3"/>
      <c r="J7" s="3"/>
      <c r="K7" s="3" t="s">
        <v>4</v>
      </c>
      <c r="L7" s="5">
        <f>B7/$B$7</f>
        <v>1</v>
      </c>
      <c r="M7" s="5">
        <f t="shared" ref="M7:Q7" si="1">C7/$B$7</f>
        <v>1.7467877909140781</v>
      </c>
      <c r="N7" s="5">
        <f t="shared" si="1"/>
        <v>3.6356715260670267</v>
      </c>
      <c r="O7" s="5">
        <f t="shared" si="1"/>
        <v>1.8496277284737059</v>
      </c>
      <c r="P7" s="5">
        <f t="shared" si="1"/>
        <v>1.2739989440567683</v>
      </c>
      <c r="Q7" s="5">
        <f t="shared" si="1"/>
        <v>1.448683678576377</v>
      </c>
    </row>
    <row r="8" spans="1:17" x14ac:dyDescent="0.25">
      <c r="A8" s="3" t="s">
        <v>5</v>
      </c>
      <c r="B8" s="3">
        <v>-2883.63</v>
      </c>
      <c r="C8" s="3">
        <v>179.78</v>
      </c>
      <c r="D8" s="3">
        <v>1299.99</v>
      </c>
      <c r="E8" s="3">
        <v>1568.86</v>
      </c>
      <c r="F8" s="3">
        <v>-6005.23</v>
      </c>
      <c r="G8" s="3">
        <v>876.7</v>
      </c>
      <c r="H8" s="3"/>
      <c r="I8" s="3"/>
      <c r="J8" s="3"/>
      <c r="K8" s="3" t="s">
        <v>5</v>
      </c>
      <c r="L8" s="5">
        <f>B8/$B$8</f>
        <v>1</v>
      </c>
      <c r="M8" s="5">
        <f t="shared" ref="M8:Q8" si="2">C8/$B$8</f>
        <v>-6.2345030395716511E-2</v>
      </c>
      <c r="N8" s="5">
        <f t="shared" si="2"/>
        <v>-0.45081719915523144</v>
      </c>
      <c r="O8" s="5">
        <f t="shared" si="2"/>
        <v>-0.54405731664603285</v>
      </c>
      <c r="P8" s="5">
        <f t="shared" si="2"/>
        <v>2.0825244570211847</v>
      </c>
      <c r="Q8" s="5">
        <f t="shared" si="2"/>
        <v>-0.30402652212662512</v>
      </c>
    </row>
    <row r="9" spans="1:17" x14ac:dyDescent="0.25">
      <c r="A9" s="3" t="s">
        <v>6</v>
      </c>
      <c r="B9" s="3">
        <v>8440.73</v>
      </c>
      <c r="C9" s="3">
        <v>9233.64</v>
      </c>
      <c r="D9" s="3">
        <v>9100.8700000000008</v>
      </c>
      <c r="E9" s="3">
        <v>9335.2000000000007</v>
      </c>
      <c r="F9" s="3">
        <v>9882.16</v>
      </c>
      <c r="G9" s="3">
        <v>10421.33</v>
      </c>
      <c r="H9" s="3"/>
      <c r="I9" s="3"/>
      <c r="J9" s="3"/>
      <c r="K9" s="3" t="s">
        <v>6</v>
      </c>
      <c r="L9" s="5">
        <f>B9/$B$9</f>
        <v>1</v>
      </c>
      <c r="M9" s="5">
        <f t="shared" ref="M9:Q9" si="3">C9/$B$9</f>
        <v>1.0939385574470455</v>
      </c>
      <c r="N9" s="5">
        <f t="shared" si="3"/>
        <v>1.0782088752987007</v>
      </c>
      <c r="O9" s="5">
        <f t="shared" si="3"/>
        <v>1.1059706921083841</v>
      </c>
      <c r="P9" s="5">
        <f t="shared" si="3"/>
        <v>1.170770774565707</v>
      </c>
      <c r="Q9" s="5">
        <f t="shared" si="3"/>
        <v>1.2346479510658439</v>
      </c>
    </row>
    <row r="10" spans="1:17" x14ac:dyDescent="0.25">
      <c r="A10" s="3" t="s">
        <v>7</v>
      </c>
      <c r="B10" s="3">
        <v>7533.46</v>
      </c>
      <c r="C10" s="3">
        <v>7606.71</v>
      </c>
      <c r="D10" s="3">
        <v>5462.2</v>
      </c>
      <c r="E10" s="3">
        <v>6298.7</v>
      </c>
      <c r="F10" s="3">
        <v>7507.57</v>
      </c>
      <c r="G10" s="3">
        <v>7340.95</v>
      </c>
      <c r="H10" s="3"/>
      <c r="I10" s="3"/>
      <c r="J10" s="3"/>
      <c r="K10" s="3" t="s">
        <v>7</v>
      </c>
      <c r="L10" s="5">
        <f>B10/$B$10</f>
        <v>1</v>
      </c>
      <c r="M10" s="5">
        <f t="shared" ref="M10:P10" si="4">C10/$B$10</f>
        <v>1.0097232878385232</v>
      </c>
      <c r="N10" s="5">
        <f t="shared" si="4"/>
        <v>0.72505860520929288</v>
      </c>
      <c r="O10" s="5">
        <f t="shared" si="4"/>
        <v>0.83609656120826281</v>
      </c>
      <c r="P10" s="5">
        <f t="shared" si="4"/>
        <v>0.99656333212096426</v>
      </c>
      <c r="Q10" s="5">
        <f>G10/$B$10</f>
        <v>0.97444600489018318</v>
      </c>
    </row>
    <row r="11" spans="1:17" x14ac:dyDescent="0.25">
      <c r="A11" s="3" t="s">
        <v>8</v>
      </c>
      <c r="B11" s="3">
        <v>-1394.76</v>
      </c>
      <c r="C11" s="3">
        <v>13843.69</v>
      </c>
      <c r="D11" s="3">
        <v>50226.87</v>
      </c>
      <c r="E11" s="3">
        <v>18235.12</v>
      </c>
      <c r="F11" s="3">
        <v>-1147.04</v>
      </c>
      <c r="G11" s="3">
        <v>8412.8700000000008</v>
      </c>
      <c r="H11" s="3"/>
      <c r="I11" s="3"/>
      <c r="J11" s="3"/>
      <c r="K11" s="3" t="s">
        <v>8</v>
      </c>
      <c r="L11" s="5">
        <f>B11/$B$11</f>
        <v>1</v>
      </c>
      <c r="M11" s="5">
        <f t="shared" ref="M11:Q11" si="5">C11/$B$11</f>
        <v>-9.9254997275516939</v>
      </c>
      <c r="N11" s="5">
        <f t="shared" si="5"/>
        <v>-36.011120192721329</v>
      </c>
      <c r="O11" s="5">
        <f t="shared" si="5"/>
        <v>-13.074019903065759</v>
      </c>
      <c r="P11" s="5">
        <f t="shared" si="5"/>
        <v>0.82239238291892514</v>
      </c>
      <c r="Q11" s="5">
        <f t="shared" si="5"/>
        <v>-6.0317689064785345</v>
      </c>
    </row>
    <row r="12" spans="1:17" x14ac:dyDescent="0.25">
      <c r="A12" s="3" t="s">
        <v>9</v>
      </c>
      <c r="B12" s="3">
        <v>-2568.41</v>
      </c>
      <c r="C12" s="3">
        <v>5653.9</v>
      </c>
      <c r="D12" s="3">
        <v>8477.5499999999993</v>
      </c>
      <c r="E12" s="3">
        <v>10159.77</v>
      </c>
      <c r="F12" s="3">
        <v>3762.57</v>
      </c>
      <c r="G12" s="3">
        <v>5239.09</v>
      </c>
      <c r="H12" s="3"/>
      <c r="I12" s="3"/>
      <c r="J12" s="3"/>
      <c r="K12" s="3" t="s">
        <v>9</v>
      </c>
      <c r="L12" s="5">
        <f>B12/$B$12</f>
        <v>1</v>
      </c>
      <c r="M12" s="5">
        <f t="shared" ref="M12:Q12" si="6">C12/$B$12</f>
        <v>-2.2013229974965056</v>
      </c>
      <c r="N12" s="5">
        <f t="shared" si="6"/>
        <v>-3.300699654650153</v>
      </c>
      <c r="O12" s="5">
        <f t="shared" si="6"/>
        <v>-3.9556651780673651</v>
      </c>
      <c r="P12" s="5">
        <f t="shared" si="6"/>
        <v>-1.4649413450344768</v>
      </c>
      <c r="Q12" s="5">
        <f t="shared" si="6"/>
        <v>-2.0398184090546292</v>
      </c>
    </row>
    <row r="13" spans="1:17" x14ac:dyDescent="0.25">
      <c r="A13" s="3" t="s">
        <v>10</v>
      </c>
      <c r="B13" s="3">
        <v>1556.54</v>
      </c>
      <c r="C13" s="3">
        <v>7490.22</v>
      </c>
      <c r="D13" s="3">
        <v>40153.93</v>
      </c>
      <c r="E13" s="3">
        <v>8760.4</v>
      </c>
      <c r="F13" s="3">
        <v>-4437.4399999999996</v>
      </c>
      <c r="G13" s="3">
        <v>3420.51</v>
      </c>
      <c r="H13" s="3"/>
      <c r="I13" s="3"/>
      <c r="J13" s="3"/>
      <c r="K13" s="3" t="s">
        <v>10</v>
      </c>
      <c r="L13" s="5">
        <f>B13/$B$13</f>
        <v>1</v>
      </c>
      <c r="M13" s="5">
        <f t="shared" ref="M13:Q13" si="7">C13/$B$13</f>
        <v>4.812096059208244</v>
      </c>
      <c r="N13" s="5">
        <f t="shared" si="7"/>
        <v>25.796914952394413</v>
      </c>
      <c r="O13" s="5">
        <f t="shared" si="7"/>
        <v>5.6281239158646743</v>
      </c>
      <c r="P13" s="5">
        <f t="shared" si="7"/>
        <v>-2.8508358281830213</v>
      </c>
      <c r="Q13" s="5">
        <f t="shared" si="7"/>
        <v>2.197508576715022</v>
      </c>
    </row>
    <row r="14" spans="1:17" x14ac:dyDescent="0.25">
      <c r="A14" s="3" t="s">
        <v>11</v>
      </c>
      <c r="B14" s="3">
        <v>1.3817610453710196</v>
      </c>
      <c r="C14" s="3">
        <v>6.2596378040932992</v>
      </c>
      <c r="D14" s="3">
        <v>32.878023417669695</v>
      </c>
      <c r="E14" s="3">
        <v>7.168199522141852</v>
      </c>
      <c r="F14" s="3">
        <v>-3.5546441302519325</v>
      </c>
      <c r="G14" s="3">
        <v>2.7400248327792691</v>
      </c>
      <c r="H14" s="3"/>
      <c r="I14" s="3"/>
      <c r="J14" s="3"/>
      <c r="K14" s="3" t="s">
        <v>11</v>
      </c>
      <c r="L14" s="5">
        <f>B14/$B$14</f>
        <v>1</v>
      </c>
      <c r="M14" s="5">
        <f t="shared" ref="M14:Q14" si="8">C14/$B$14</f>
        <v>4.5301883600376867</v>
      </c>
      <c r="N14" s="5">
        <f t="shared" si="8"/>
        <v>23.794290284715292</v>
      </c>
      <c r="O14" s="5">
        <f t="shared" si="8"/>
        <v>5.187727318088565</v>
      </c>
      <c r="P14" s="5">
        <f t="shared" si="8"/>
        <v>-2.5725462026594239</v>
      </c>
      <c r="Q14" s="5">
        <f t="shared" si="8"/>
        <v>1.982994702273966</v>
      </c>
    </row>
    <row r="15" spans="1:17" x14ac:dyDescent="0.25">
      <c r="A15" s="3" t="s">
        <v>12</v>
      </c>
      <c r="B15" s="3">
        <v>19.511333084919116</v>
      </c>
      <c r="C15" s="3">
        <v>12.970399013647127</v>
      </c>
      <c r="D15" s="3">
        <v>3.975908111609499</v>
      </c>
      <c r="E15" s="3">
        <v>14.578277247614263</v>
      </c>
      <c r="F15" s="3">
        <v>-43.844051412526142</v>
      </c>
      <c r="G15" s="3">
        <v>56.291460630139944</v>
      </c>
      <c r="H15" s="3"/>
      <c r="I15" s="3"/>
      <c r="J15" s="3"/>
      <c r="K15" s="3" t="s">
        <v>12</v>
      </c>
      <c r="L15" s="5">
        <f>B15/$B$15</f>
        <v>1</v>
      </c>
      <c r="M15" s="5">
        <f t="shared" ref="M15:Q15" si="9">C15/$B$15</f>
        <v>0.66476231824837895</v>
      </c>
      <c r="N15" s="5">
        <f t="shared" si="9"/>
        <v>0.20377429334557337</v>
      </c>
      <c r="O15" s="5">
        <f t="shared" si="9"/>
        <v>0.74716971844851765</v>
      </c>
      <c r="P15" s="5">
        <f t="shared" si="9"/>
        <v>-2.247106910722287</v>
      </c>
      <c r="Q15" s="5">
        <f t="shared" si="9"/>
        <v>2.8850648177212079</v>
      </c>
    </row>
    <row r="16" spans="1:17" x14ac:dyDescent="0.25">
      <c r="A16" s="3" t="s">
        <v>13</v>
      </c>
      <c r="B16" s="3">
        <v>26.96</v>
      </c>
      <c r="C16" s="3">
        <v>81.19</v>
      </c>
      <c r="D16" s="3">
        <v>130.72</v>
      </c>
      <c r="E16" s="3">
        <v>104.5</v>
      </c>
      <c r="F16" s="3">
        <v>155.85</v>
      </c>
      <c r="G16" s="3">
        <v>154.24</v>
      </c>
      <c r="H16" s="3"/>
      <c r="I16" s="3"/>
      <c r="J16" s="3"/>
      <c r="K16" s="3" t="s">
        <v>13</v>
      </c>
      <c r="L16" s="5">
        <f>B16/$B$16</f>
        <v>1</v>
      </c>
      <c r="M16" s="5">
        <f t="shared" ref="M16:Q16" si="10">C16/$B$16</f>
        <v>3.0114985163204744</v>
      </c>
      <c r="N16" s="5">
        <f t="shared" si="10"/>
        <v>4.8486646884272995</v>
      </c>
      <c r="O16" s="5">
        <f t="shared" si="10"/>
        <v>3.8761127596439167</v>
      </c>
      <c r="P16" s="5">
        <f t="shared" si="10"/>
        <v>5.7807863501483672</v>
      </c>
      <c r="Q16" s="5">
        <f t="shared" si="10"/>
        <v>5.7210682492581606</v>
      </c>
    </row>
    <row r="17" spans="1:17" x14ac:dyDescent="0.25">
      <c r="A17" s="38" t="s">
        <v>29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</row>
    <row r="18" spans="1:17" x14ac:dyDescent="0.25">
      <c r="A18" s="3" t="s">
        <v>1</v>
      </c>
      <c r="B18" s="4">
        <v>43891</v>
      </c>
      <c r="C18" s="4">
        <v>44256</v>
      </c>
      <c r="D18" s="4">
        <v>44621</v>
      </c>
      <c r="E18" s="4">
        <v>44986</v>
      </c>
      <c r="F18" s="4">
        <v>45352</v>
      </c>
      <c r="G18" s="4">
        <v>45717</v>
      </c>
      <c r="H18" s="3"/>
      <c r="I18" s="3"/>
      <c r="J18" s="3"/>
      <c r="K18" s="3" t="s">
        <v>1</v>
      </c>
      <c r="L18" s="4">
        <v>43891</v>
      </c>
      <c r="M18" s="4">
        <v>44256</v>
      </c>
      <c r="N18" s="4">
        <v>44621</v>
      </c>
      <c r="O18" s="4">
        <v>44986</v>
      </c>
      <c r="P18" s="4">
        <v>45352</v>
      </c>
      <c r="Q18" s="4">
        <v>45717</v>
      </c>
    </row>
    <row r="19" spans="1:17" x14ac:dyDescent="0.25">
      <c r="A19" s="3" t="s">
        <v>20</v>
      </c>
      <c r="B19" s="3">
        <v>1144.95</v>
      </c>
      <c r="C19" s="3">
        <v>1197.6099999999999</v>
      </c>
      <c r="D19" s="3">
        <v>1221.21</v>
      </c>
      <c r="E19" s="3">
        <v>1221.24</v>
      </c>
      <c r="F19" s="3">
        <v>1247.44</v>
      </c>
      <c r="G19" s="3">
        <v>1247.44</v>
      </c>
      <c r="H19" s="3"/>
      <c r="I19" s="3"/>
      <c r="J19" s="3"/>
      <c r="K19" s="3" t="s">
        <v>20</v>
      </c>
      <c r="L19" s="5">
        <f>B19/$B$19</f>
        <v>1</v>
      </c>
      <c r="M19" s="5">
        <f t="shared" ref="M19:Q19" si="11">C19/$B$19</f>
        <v>1.0459932748154941</v>
      </c>
      <c r="N19" s="5">
        <f t="shared" si="11"/>
        <v>1.0666055286257041</v>
      </c>
      <c r="O19" s="5">
        <f t="shared" si="11"/>
        <v>1.0666317306432596</v>
      </c>
      <c r="P19" s="5">
        <f t="shared" si="11"/>
        <v>1.0895148259749334</v>
      </c>
      <c r="Q19" s="5">
        <f t="shared" si="11"/>
        <v>1.0895148259749334</v>
      </c>
    </row>
    <row r="20" spans="1:17" x14ac:dyDescent="0.25">
      <c r="A20" s="3" t="s">
        <v>21</v>
      </c>
      <c r="B20" s="3">
        <v>72431.350000000006</v>
      </c>
      <c r="C20" s="3">
        <v>73041.16</v>
      </c>
      <c r="D20" s="3">
        <v>113221.83</v>
      </c>
      <c r="E20" s="3">
        <v>101860.86</v>
      </c>
      <c r="F20" s="3">
        <v>90788.32</v>
      </c>
      <c r="G20" s="3">
        <v>89922.19</v>
      </c>
      <c r="H20" s="3"/>
      <c r="I20" s="3"/>
      <c r="J20" s="3"/>
      <c r="K20" s="3" t="s">
        <v>21</v>
      </c>
      <c r="L20" s="5">
        <f>B20/$B$20</f>
        <v>1</v>
      </c>
      <c r="M20" s="5">
        <f t="shared" ref="M20:Q20" si="12">C20/$B$20</f>
        <v>1.0084191444726627</v>
      </c>
      <c r="N20" s="5">
        <f t="shared" si="12"/>
        <v>1.5631605651420275</v>
      </c>
      <c r="O20" s="5">
        <f t="shared" si="12"/>
        <v>1.4063090084611152</v>
      </c>
      <c r="P20" s="5">
        <f t="shared" si="12"/>
        <v>1.2534395672592047</v>
      </c>
      <c r="Q20" s="5">
        <f t="shared" si="12"/>
        <v>1.241481623633965</v>
      </c>
    </row>
    <row r="21" spans="1:17" x14ac:dyDescent="0.25">
      <c r="A21" s="3" t="s">
        <v>22</v>
      </c>
      <c r="B21" s="3">
        <v>116328.2</v>
      </c>
      <c r="C21" s="3">
        <v>88501.41</v>
      </c>
      <c r="D21" s="3">
        <v>75561.350000000006</v>
      </c>
      <c r="E21" s="3">
        <v>84893.05</v>
      </c>
      <c r="F21" s="3">
        <v>87082.12</v>
      </c>
      <c r="G21" s="3">
        <v>94801.05</v>
      </c>
      <c r="H21" s="3"/>
      <c r="I21" s="3"/>
      <c r="J21" s="3"/>
      <c r="K21" s="3" t="s">
        <v>22</v>
      </c>
      <c r="L21" s="5">
        <f>B21/$B$21</f>
        <v>1</v>
      </c>
      <c r="M21" s="5">
        <f t="shared" ref="M21:Q21" si="13">C21/$B$21</f>
        <v>0.76079067672327094</v>
      </c>
      <c r="N21" s="5">
        <f t="shared" si="13"/>
        <v>0.64955316079849945</v>
      </c>
      <c r="O21" s="5">
        <f t="shared" si="13"/>
        <v>0.72977188678239679</v>
      </c>
      <c r="P21" s="5">
        <f t="shared" si="13"/>
        <v>0.74858993777948935</v>
      </c>
      <c r="Q21" s="5">
        <f t="shared" si="13"/>
        <v>0.81494469956553961</v>
      </c>
    </row>
    <row r="22" spans="1:17" x14ac:dyDescent="0.25">
      <c r="A22" s="3" t="s">
        <v>23</v>
      </c>
      <c r="B22" s="3">
        <v>59244.62</v>
      </c>
      <c r="C22" s="3">
        <v>81169.009999999995</v>
      </c>
      <c r="D22" s="3">
        <v>92417.279999999999</v>
      </c>
      <c r="E22" s="3">
        <v>97420.63</v>
      </c>
      <c r="F22" s="3">
        <v>90194.54</v>
      </c>
      <c r="G22" s="3">
        <v>89487.9</v>
      </c>
      <c r="H22" s="3"/>
      <c r="I22" s="3"/>
      <c r="J22" s="3"/>
      <c r="K22" s="3" t="s">
        <v>23</v>
      </c>
      <c r="L22" s="5">
        <f>B22/$B$22</f>
        <v>1</v>
      </c>
      <c r="M22" s="5">
        <f t="shared" ref="M22:Q22" si="14">C22/$B$22</f>
        <v>1.3700655013062788</v>
      </c>
      <c r="N22" s="5">
        <f t="shared" si="14"/>
        <v>1.5599269604564936</v>
      </c>
      <c r="O22" s="5">
        <f t="shared" si="14"/>
        <v>1.6443793546148158</v>
      </c>
      <c r="P22" s="5">
        <f t="shared" si="14"/>
        <v>1.5224089546021224</v>
      </c>
      <c r="Q22" s="5">
        <f t="shared" si="14"/>
        <v>1.5104814580631962</v>
      </c>
    </row>
    <row r="23" spans="1:17" x14ac:dyDescent="0.25">
      <c r="A23" s="3" t="s">
        <v>24</v>
      </c>
      <c r="B23" s="3">
        <v>249149.12</v>
      </c>
      <c r="C23" s="3">
        <v>243909.19</v>
      </c>
      <c r="D23" s="3">
        <v>282421.67</v>
      </c>
      <c r="E23" s="3">
        <v>285395.78000000003</v>
      </c>
      <c r="F23" s="3">
        <v>269312.42</v>
      </c>
      <c r="G23" s="3">
        <v>275458.58</v>
      </c>
      <c r="H23" s="3"/>
      <c r="I23" s="3"/>
      <c r="J23" s="3"/>
      <c r="K23" s="3" t="s">
        <v>24</v>
      </c>
      <c r="L23" s="5">
        <f>B23/$B$23</f>
        <v>1</v>
      </c>
      <c r="M23" s="5">
        <f t="shared" ref="M23:Q23" si="15">C23/$B$23</f>
        <v>0.97896869954828658</v>
      </c>
      <c r="N23" s="5">
        <f t="shared" si="15"/>
        <v>1.1335447221326729</v>
      </c>
      <c r="O23" s="5">
        <f t="shared" si="15"/>
        <v>1.1454817901825221</v>
      </c>
      <c r="P23" s="5">
        <f t="shared" si="15"/>
        <v>1.0809286422524791</v>
      </c>
      <c r="Q23" s="5">
        <f t="shared" si="15"/>
        <v>1.1055972423262022</v>
      </c>
    </row>
    <row r="24" spans="1:17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5"/>
      <c r="M24" s="5"/>
      <c r="N24" s="5"/>
      <c r="O24" s="5"/>
      <c r="P24" s="5"/>
      <c r="Q24" s="5"/>
    </row>
    <row r="25" spans="1:17" x14ac:dyDescent="0.25">
      <c r="A25" s="3" t="s">
        <v>25</v>
      </c>
      <c r="B25" s="3">
        <v>134550.66</v>
      </c>
      <c r="C25" s="3">
        <v>135775.18</v>
      </c>
      <c r="D25" s="3">
        <v>133287.82999999999</v>
      </c>
      <c r="E25" s="3">
        <v>146621.46</v>
      </c>
      <c r="F25" s="3">
        <v>148814.38</v>
      </c>
      <c r="G25" s="3">
        <v>150914.06</v>
      </c>
      <c r="H25" s="3"/>
      <c r="I25" s="3"/>
      <c r="J25" s="3"/>
      <c r="K25" s="3" t="s">
        <v>25</v>
      </c>
      <c r="L25" s="5">
        <f>B25/$B$25</f>
        <v>1</v>
      </c>
      <c r="M25" s="5">
        <f t="shared" ref="M25:Q25" si="16">C25/$B$25</f>
        <v>1.0091008100591998</v>
      </c>
      <c r="N25" s="5">
        <f t="shared" si="16"/>
        <v>0.99061446447011103</v>
      </c>
      <c r="O25" s="5">
        <f t="shared" si="16"/>
        <v>1.0897119345233981</v>
      </c>
      <c r="P25" s="5">
        <f t="shared" si="16"/>
        <v>1.1060100336928858</v>
      </c>
      <c r="Q25" s="5">
        <f t="shared" si="16"/>
        <v>1.121615159672944</v>
      </c>
    </row>
    <row r="26" spans="1:17" x14ac:dyDescent="0.25">
      <c r="A26" s="3" t="s">
        <v>26</v>
      </c>
      <c r="B26" s="3">
        <v>19496.830000000002</v>
      </c>
      <c r="C26" s="3">
        <v>19007.400000000001</v>
      </c>
      <c r="D26" s="3">
        <v>22045.55</v>
      </c>
      <c r="E26" s="3">
        <v>31213.02</v>
      </c>
      <c r="F26" s="3">
        <v>34355.53</v>
      </c>
      <c r="G26" s="3">
        <v>41622.35</v>
      </c>
      <c r="H26" s="3"/>
      <c r="I26" s="3"/>
      <c r="J26" s="3"/>
      <c r="K26" s="3" t="s">
        <v>26</v>
      </c>
      <c r="L26" s="5">
        <f>B26/$B$26</f>
        <v>1</v>
      </c>
      <c r="M26" s="5">
        <f t="shared" ref="M26:Q26" si="17">C26/$B$26</f>
        <v>0.97489694478538302</v>
      </c>
      <c r="N26" s="5">
        <f t="shared" si="17"/>
        <v>1.130724840910035</v>
      </c>
      <c r="O26" s="5">
        <f t="shared" si="17"/>
        <v>1.6009279457224583</v>
      </c>
      <c r="P26" s="5">
        <f t="shared" si="17"/>
        <v>1.762108506870091</v>
      </c>
      <c r="Q26" s="5">
        <f t="shared" si="17"/>
        <v>2.1348265333390093</v>
      </c>
    </row>
    <row r="27" spans="1:17" x14ac:dyDescent="0.25">
      <c r="A27" s="3" t="s">
        <v>27</v>
      </c>
      <c r="B27" s="3">
        <v>6285.18</v>
      </c>
      <c r="C27" s="3">
        <v>10681.93</v>
      </c>
      <c r="D27" s="3">
        <v>13139.85</v>
      </c>
      <c r="E27" s="3">
        <v>8410.31</v>
      </c>
      <c r="F27" s="3">
        <v>6257.57</v>
      </c>
      <c r="G27" s="3">
        <v>6194.11</v>
      </c>
      <c r="H27" s="3"/>
      <c r="I27" s="3"/>
      <c r="J27" s="3"/>
      <c r="K27" s="3" t="s">
        <v>27</v>
      </c>
      <c r="L27" s="5">
        <f>B27/$B$27</f>
        <v>1</v>
      </c>
      <c r="M27" s="5">
        <f t="shared" ref="M27:Q27" si="18">C27/$B$27</f>
        <v>1.6995424156507848</v>
      </c>
      <c r="N27" s="5">
        <f t="shared" si="18"/>
        <v>2.0906083835307818</v>
      </c>
      <c r="O27" s="5">
        <f t="shared" si="18"/>
        <v>1.3381176036326723</v>
      </c>
      <c r="P27" s="5">
        <f t="shared" si="18"/>
        <v>0.99560712660576145</v>
      </c>
      <c r="Q27" s="5">
        <f t="shared" si="18"/>
        <v>0.98551035928963038</v>
      </c>
    </row>
    <row r="28" spans="1:17" x14ac:dyDescent="0.25">
      <c r="A28" s="3" t="s">
        <v>28</v>
      </c>
      <c r="B28" s="3">
        <v>88816.45</v>
      </c>
      <c r="C28" s="3">
        <v>78444.679999999993</v>
      </c>
      <c r="D28" s="3">
        <v>113948.44</v>
      </c>
      <c r="E28" s="3">
        <v>99150.99</v>
      </c>
      <c r="F28" s="3">
        <v>79884.94</v>
      </c>
      <c r="G28" s="3">
        <v>76728.06</v>
      </c>
      <c r="H28" s="3"/>
      <c r="I28" s="3"/>
      <c r="J28" s="3"/>
      <c r="K28" s="3" t="s">
        <v>28</v>
      </c>
      <c r="L28" s="5">
        <f>B28/$B$28</f>
        <v>1</v>
      </c>
      <c r="M28" s="5">
        <f t="shared" ref="M28:Q28" si="19">C28/$B$28</f>
        <v>0.88322242107177218</v>
      </c>
      <c r="N28" s="5">
        <f t="shared" si="19"/>
        <v>1.2829654866863065</v>
      </c>
      <c r="O28" s="5">
        <f t="shared" si="19"/>
        <v>1.1163583998234563</v>
      </c>
      <c r="P28" s="5">
        <f t="shared" si="19"/>
        <v>0.89943856121247812</v>
      </c>
      <c r="Q28" s="5">
        <f t="shared" si="19"/>
        <v>0.86389469518315587</v>
      </c>
    </row>
    <row r="29" spans="1:17" x14ac:dyDescent="0.25">
      <c r="A29" s="3" t="s">
        <v>24</v>
      </c>
      <c r="B29" s="3">
        <v>249149.12</v>
      </c>
      <c r="C29" s="3">
        <v>243909.19</v>
      </c>
      <c r="D29" s="3">
        <v>282421.67</v>
      </c>
      <c r="E29" s="3">
        <v>285395.78000000003</v>
      </c>
      <c r="F29" s="3">
        <v>269312.42</v>
      </c>
      <c r="G29" s="3">
        <v>275458.58</v>
      </c>
      <c r="H29" s="3"/>
      <c r="I29" s="3"/>
      <c r="J29" s="3"/>
      <c r="K29" s="3" t="s">
        <v>24</v>
      </c>
      <c r="L29" s="5">
        <f>B29/$B$29</f>
        <v>1</v>
      </c>
      <c r="M29" s="5">
        <f t="shared" ref="M29:Q29" si="20">C29/$B$29</f>
        <v>0.97896869954828658</v>
      </c>
      <c r="N29" s="5">
        <f t="shared" si="20"/>
        <v>1.1335447221326729</v>
      </c>
      <c r="O29" s="5">
        <f t="shared" si="20"/>
        <v>1.1454817901825221</v>
      </c>
      <c r="P29" s="5">
        <f t="shared" si="20"/>
        <v>1.0809286422524791</v>
      </c>
      <c r="Q29" s="5">
        <f t="shared" si="20"/>
        <v>1.1055972423262022</v>
      </c>
    </row>
  </sheetData>
  <mergeCells count="4">
    <mergeCell ref="A17:Q17"/>
    <mergeCell ref="A3:Q3"/>
    <mergeCell ref="A1:Q1"/>
    <mergeCell ref="A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TITANComparitive &amp; Common Size </vt:lpstr>
      <vt:lpstr>TITAN Trend Anaylasis</vt:lpstr>
      <vt:lpstr>TATA Comparitive &amp; Common Size </vt:lpstr>
      <vt:lpstr>TATA Trend Anayalasis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Kayasth</dc:creator>
  <cp:lastModifiedBy>Tejas Kayasth</cp:lastModifiedBy>
  <dcterms:created xsi:type="dcterms:W3CDTF">2025-09-17T04:43:37Z</dcterms:created>
  <dcterms:modified xsi:type="dcterms:W3CDTF">2025-09-17T14:22:02Z</dcterms:modified>
</cp:coreProperties>
</file>