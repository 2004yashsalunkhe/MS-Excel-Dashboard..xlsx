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Baba/Desktop/Tools/"/>
    </mc:Choice>
  </mc:AlternateContent>
  <xr:revisionPtr revIDLastSave="0" documentId="13_ncr:1_{6A051F5E-BE38-024C-BDDF-59CBF3FC4574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1" i="1" l="1"/>
  <c r="N31" i="1" s="1"/>
  <c r="K23" i="1"/>
  <c r="E33" i="1" s="1"/>
  <c r="B14" i="1"/>
  <c r="E23" i="1"/>
  <c r="E25" i="1"/>
  <c r="E41" i="1"/>
  <c r="K25" i="1" l="1"/>
  <c r="N25" i="1" s="1"/>
  <c r="B27" i="1" s="1"/>
  <c r="N32" i="1"/>
  <c r="E31" i="1" l="1"/>
  <c r="K33" i="1" s="1"/>
  <c r="E39" i="1" l="1"/>
  <c r="K39" i="1" s="1"/>
  <c r="N39" i="1" s="1"/>
  <c r="K41" i="1" l="1"/>
  <c r="N41" i="1" s="1"/>
  <c r="N33" i="1"/>
  <c r="B35" i="1" l="1"/>
  <c r="B43" i="1"/>
</calcChain>
</file>

<file path=xl/sharedStrings.xml><?xml version="1.0" encoding="utf-8"?>
<sst xmlns="http://schemas.openxmlformats.org/spreadsheetml/2006/main" count="31" uniqueCount="26">
  <si>
    <t>RETIREMENT PLANNING</t>
  </si>
  <si>
    <t>Name of the Client :</t>
  </si>
  <si>
    <t>Present Age :</t>
  </si>
  <si>
    <t>Retirement Age</t>
  </si>
  <si>
    <t>Monthly Expenses Today</t>
  </si>
  <si>
    <t>Inflation Rate</t>
  </si>
  <si>
    <t>Expected Returns on Investments</t>
  </si>
  <si>
    <t>Expected Pension Rate</t>
  </si>
  <si>
    <t>1) What will be expected monthly expenses after you retire ?</t>
  </si>
  <si>
    <t xml:space="preserve">2) How much money your require to accumulate (RETIREMENT KITTY) before you retire so that you can have a peaceful retirement? </t>
  </si>
  <si>
    <t>3) How much you need to save to create your RETIREMENT KITTY ?</t>
  </si>
  <si>
    <t>Part - 1 : Your Monthly Expenses - Now &amp; Then</t>
  </si>
  <si>
    <t>Year to Retirement</t>
  </si>
  <si>
    <t>Monthly Expenses at Retirement</t>
  </si>
  <si>
    <t>Part - 2 : Retirement Kitty required</t>
  </si>
  <si>
    <t>Retirement Kitty Required</t>
  </si>
  <si>
    <t>\</t>
  </si>
  <si>
    <t>Part 3 : Investment required to build your Retirement Kitty</t>
  </si>
  <si>
    <t>Yearly Investment Required</t>
  </si>
  <si>
    <t>Monthly Investment Required</t>
  </si>
  <si>
    <t>Thank You &amp; wish you a HEALTHY &amp; a  WEALTHY RETIREMENT.</t>
  </si>
  <si>
    <t>Life Expectancy</t>
  </si>
  <si>
    <t>Inflation adjusted returns</t>
  </si>
  <si>
    <t>Retirement Years</t>
  </si>
  <si>
    <t>Expected Retirement Kitty at retirement</t>
  </si>
  <si>
    <t>Miss Sneha Swami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</si>
</sst>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#,##0\ [$Years-1]_);\(#,##0.00\ [$€-1]\)"/>
    <numFmt numFmtId="165" formatCode="[$Rs. -804]#,##0"/>
    <numFmt numFmtId="166" formatCode="&quot;₹&quot;#,##0"/>
  </numFmts>
  <fonts count="6" x14ac:knownFonts="1"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b/>
      <sz val="14"/>
      <color indexed="9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3" tint="-0.249977111117893"/>
        <bgColor indexed="58"/>
      </patternFill>
    </fill>
  </fills>
  <borders count="1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9" fontId="5" fillId="0" borderId="0" applyFill="0" applyBorder="0" applyAlignment="0" applyProtection="0"/>
  </cellStyleXfs>
  <cellXfs count="38">
    <xf numFmtId="0" fontId="0" fillId="0" borderId="0" xfId="0"/>
    <xf numFmtId="0" fontId="1" fillId="2" borderId="0" xfId="0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1" fillId="2" borderId="2" xfId="0" applyFont="1" applyFill="1" applyBorder="1" applyAlignment="1" applyProtection="1">
      <alignment vertical="center"/>
      <protection hidden="1"/>
    </xf>
    <xf numFmtId="0" fontId="1" fillId="2" borderId="3" xfId="0" applyFont="1" applyFill="1" applyBorder="1" applyAlignment="1" applyProtection="1">
      <alignment vertical="center"/>
      <protection hidden="1"/>
    </xf>
    <xf numFmtId="0" fontId="1" fillId="2" borderId="4" xfId="0" applyFont="1" applyFill="1" applyBorder="1" applyAlignment="1" applyProtection="1">
      <alignment vertical="center"/>
      <protection hidden="1"/>
    </xf>
    <xf numFmtId="0" fontId="1" fillId="2" borderId="5" xfId="0" applyFont="1" applyFill="1" applyBorder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left" vertical="center" wrapText="1" indent="1"/>
      <protection hidden="1"/>
    </xf>
    <xf numFmtId="0" fontId="1" fillId="2" borderId="0" xfId="0" applyFont="1" applyFill="1" applyAlignment="1" applyProtection="1">
      <alignment horizontal="left" vertical="center" indent="1"/>
      <protection hidden="1"/>
    </xf>
    <xf numFmtId="165" fontId="2" fillId="2" borderId="0" xfId="0" applyNumberFormat="1" applyFont="1" applyFill="1" applyAlignment="1" applyProtection="1">
      <alignment vertical="center"/>
      <protection hidden="1"/>
    </xf>
    <xf numFmtId="165" fontId="1" fillId="2" borderId="0" xfId="0" applyNumberFormat="1" applyFont="1" applyFill="1" applyAlignment="1" applyProtection="1">
      <alignment horizontal="left" vertical="center" indent="1"/>
      <protection hidden="1"/>
    </xf>
    <xf numFmtId="2" fontId="2" fillId="2" borderId="0" xfId="0" applyNumberFormat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horizontal="left" vertical="center" indent="1"/>
    </xf>
    <xf numFmtId="0" fontId="1" fillId="2" borderId="6" xfId="0" applyFont="1" applyFill="1" applyBorder="1" applyAlignment="1" applyProtection="1">
      <alignment vertical="center"/>
      <protection hidden="1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 applyProtection="1">
      <alignment vertical="center"/>
      <protection hidden="1"/>
    </xf>
    <xf numFmtId="0" fontId="1" fillId="2" borderId="8" xfId="0" applyFont="1" applyFill="1" applyBorder="1" applyAlignment="1" applyProtection="1">
      <alignment vertical="center"/>
      <protection hidden="1"/>
    </xf>
    <xf numFmtId="0" fontId="1" fillId="2" borderId="0" xfId="0" applyFont="1" applyFill="1" applyAlignment="1">
      <alignment vertical="center"/>
    </xf>
    <xf numFmtId="10" fontId="1" fillId="0" borderId="0" xfId="1" applyNumberFormat="1" applyFont="1" applyFill="1" applyBorder="1" applyAlignment="1" applyProtection="1">
      <alignment horizontal="left" vertical="center" indent="1"/>
      <protection locked="0" hidden="1"/>
    </xf>
    <xf numFmtId="10" fontId="1" fillId="5" borderId="0" xfId="1" applyNumberFormat="1" applyFont="1" applyFill="1" applyBorder="1" applyAlignment="1" applyProtection="1">
      <alignment horizontal="left" vertical="center" indent="1"/>
      <protection locked="0" hidden="1"/>
    </xf>
    <xf numFmtId="0" fontId="1" fillId="5" borderId="0" xfId="0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left" vertical="center" indent="1"/>
      <protection hidden="1"/>
    </xf>
    <xf numFmtId="10" fontId="1" fillId="6" borderId="0" xfId="1" applyNumberFormat="1" applyFont="1" applyFill="1" applyBorder="1" applyAlignment="1" applyProtection="1">
      <alignment horizontal="left" vertical="center" indent="1"/>
      <protection locked="0" hidden="1"/>
    </xf>
    <xf numFmtId="8" fontId="1" fillId="2" borderId="0" xfId="0" applyNumberFormat="1" applyFont="1" applyFill="1" applyAlignment="1" applyProtection="1">
      <alignment vertical="center"/>
      <protection hidden="1"/>
    </xf>
    <xf numFmtId="0" fontId="1" fillId="2" borderId="9" xfId="0" applyFont="1" applyFill="1" applyBorder="1" applyAlignment="1" applyProtection="1">
      <alignment horizontal="left" vertical="center" indent="1"/>
      <protection hidden="1"/>
    </xf>
    <xf numFmtId="164" fontId="1" fillId="4" borderId="9" xfId="0" applyNumberFormat="1" applyFont="1" applyFill="1" applyBorder="1" applyAlignment="1" applyProtection="1">
      <alignment horizontal="left" vertical="center" indent="1"/>
      <protection locked="0" hidden="1"/>
    </xf>
    <xf numFmtId="166" fontId="1" fillId="4" borderId="9" xfId="1" applyNumberFormat="1" applyFont="1" applyFill="1" applyBorder="1" applyAlignment="1" applyProtection="1">
      <alignment horizontal="left" vertical="center" indent="1"/>
      <protection locked="0" hidden="1"/>
    </xf>
    <xf numFmtId="0" fontId="3" fillId="7" borderId="0" xfId="0" applyFont="1" applyFill="1" applyAlignment="1" applyProtection="1">
      <alignment horizontal="center" vertical="center"/>
      <protection hidden="1"/>
    </xf>
    <xf numFmtId="0" fontId="1" fillId="4" borderId="9" xfId="0" applyFont="1" applyFill="1" applyBorder="1" applyAlignment="1" applyProtection="1">
      <alignment horizontal="left" vertical="center" indent="1"/>
      <protection locked="0" hidden="1"/>
    </xf>
    <xf numFmtId="165" fontId="1" fillId="4" borderId="9" xfId="0" applyNumberFormat="1" applyFont="1" applyFill="1" applyBorder="1" applyAlignment="1" applyProtection="1">
      <alignment horizontal="left" vertical="center" indent="1"/>
      <protection locked="0" hidden="1"/>
    </xf>
    <xf numFmtId="10" fontId="1" fillId="4" borderId="9" xfId="1" applyNumberFormat="1" applyFont="1" applyFill="1" applyBorder="1" applyAlignment="1" applyProtection="1">
      <alignment horizontal="left" vertical="center" indent="1"/>
      <protection locked="0" hidden="1"/>
    </xf>
    <xf numFmtId="0" fontId="4" fillId="3" borderId="9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left" vertical="center" wrapText="1" indent="1"/>
      <protection hidden="1"/>
    </xf>
    <xf numFmtId="164" fontId="1" fillId="2" borderId="9" xfId="0" applyNumberFormat="1" applyFont="1" applyFill="1" applyBorder="1" applyAlignment="1" applyProtection="1">
      <alignment horizontal="left" vertical="center" indent="1"/>
      <protection hidden="1"/>
    </xf>
    <xf numFmtId="10" fontId="1" fillId="2" borderId="9" xfId="1" applyNumberFormat="1" applyFont="1" applyFill="1" applyBorder="1" applyAlignment="1" applyProtection="1">
      <alignment horizontal="left" vertical="center" indent="1"/>
      <protection hidden="1"/>
    </xf>
    <xf numFmtId="165" fontId="1" fillId="2" borderId="9" xfId="0" applyNumberFormat="1" applyFont="1" applyFill="1" applyBorder="1" applyAlignment="1" applyProtection="1">
      <alignment horizontal="left" vertical="center" indent="1"/>
      <protection hidden="1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zoomScale="125" workbookViewId="0">
      <selection activeCell="E22" sqref="E22"/>
    </sheetView>
  </sheetViews>
  <sheetFormatPr baseColWidth="10" defaultColWidth="0" defaultRowHeight="12.75" customHeight="1" zeroHeight="1" x14ac:dyDescent="0.15"/>
  <cols>
    <col min="1" max="1" width="2" style="1" customWidth="1"/>
    <col min="2" max="4" width="9.6640625" style="2" customWidth="1"/>
    <col min="5" max="6" width="8.83203125" style="2" customWidth="1"/>
    <col min="7" max="7" width="1.33203125" style="2" customWidth="1"/>
    <col min="8" max="10" width="9.6640625" style="2" customWidth="1"/>
    <col min="11" max="12" width="8.83203125" style="2" customWidth="1"/>
    <col min="13" max="13" width="2" style="1" customWidth="1"/>
    <col min="14" max="14" width="1.5" style="3" customWidth="1"/>
    <col min="15" max="16384" width="0" style="2" hidden="1"/>
  </cols>
  <sheetData>
    <row r="1" spans="1:14" s="1" customFormat="1" ht="10.5" customHeight="1" x14ac:dyDescent="0.1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3"/>
    </row>
    <row r="2" spans="1:14" ht="28.5" customHeight="1" x14ac:dyDescent="0.15">
      <c r="A2" s="7"/>
      <c r="B2" s="29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8"/>
    </row>
    <row r="3" spans="1:14" ht="16.5" customHeight="1" x14ac:dyDescent="0.15">
      <c r="A3" s="7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8"/>
    </row>
    <row r="4" spans="1:14" ht="16.5" customHeight="1" x14ac:dyDescent="0.15">
      <c r="A4" s="7"/>
      <c r="B4" s="26" t="s">
        <v>1</v>
      </c>
      <c r="C4" s="26"/>
      <c r="D4" s="26"/>
      <c r="E4" s="30" t="s">
        <v>25</v>
      </c>
      <c r="F4" s="30"/>
      <c r="G4" s="30"/>
      <c r="H4" s="30"/>
      <c r="I4" s="30"/>
      <c r="J4" s="30"/>
      <c r="K4" s="30"/>
      <c r="L4" s="30"/>
      <c r="M4" s="8"/>
    </row>
    <row r="5" spans="1:14" ht="16.5" customHeight="1" x14ac:dyDescent="0.15">
      <c r="A5" s="7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8"/>
    </row>
    <row r="6" spans="1:14" ht="16.5" customHeight="1" x14ac:dyDescent="0.15">
      <c r="A6" s="7"/>
      <c r="B6" s="26" t="s">
        <v>2</v>
      </c>
      <c r="C6" s="26"/>
      <c r="D6" s="26"/>
      <c r="E6" s="27">
        <v>37</v>
      </c>
      <c r="F6" s="27"/>
      <c r="G6" s="1"/>
      <c r="H6" s="26" t="s">
        <v>3</v>
      </c>
      <c r="I6" s="26"/>
      <c r="J6" s="26"/>
      <c r="K6" s="27">
        <v>60</v>
      </c>
      <c r="L6" s="27"/>
      <c r="M6" s="8"/>
    </row>
    <row r="7" spans="1:14" ht="16.5" customHeight="1" x14ac:dyDescent="0.15">
      <c r="A7" s="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8"/>
    </row>
    <row r="8" spans="1:14" ht="16.5" customHeight="1" x14ac:dyDescent="0.15">
      <c r="A8" s="7"/>
      <c r="B8" s="26" t="s">
        <v>4</v>
      </c>
      <c r="C8" s="26"/>
      <c r="D8" s="26"/>
      <c r="E8" s="31">
        <v>500000</v>
      </c>
      <c r="F8" s="31"/>
      <c r="G8" s="1"/>
      <c r="H8" s="26" t="s">
        <v>5</v>
      </c>
      <c r="I8" s="26"/>
      <c r="J8" s="26"/>
      <c r="K8" s="32">
        <v>0.06</v>
      </c>
      <c r="L8" s="32"/>
      <c r="M8" s="8"/>
    </row>
    <row r="9" spans="1:14" ht="16.5" customHeight="1" x14ac:dyDescent="0.15">
      <c r="A9" s="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8"/>
    </row>
    <row r="10" spans="1:14" ht="16.5" customHeight="1" x14ac:dyDescent="0.15">
      <c r="A10" s="7"/>
      <c r="B10" s="26" t="s">
        <v>6</v>
      </c>
      <c r="C10" s="26"/>
      <c r="D10" s="26"/>
      <c r="E10" s="32">
        <v>0.1</v>
      </c>
      <c r="F10" s="32"/>
      <c r="G10" s="1"/>
      <c r="H10" s="26" t="s">
        <v>7</v>
      </c>
      <c r="I10" s="26"/>
      <c r="J10" s="26"/>
      <c r="K10" s="32">
        <v>0.05</v>
      </c>
      <c r="L10" s="32"/>
      <c r="M10" s="8"/>
    </row>
    <row r="11" spans="1:14" ht="16.5" customHeight="1" x14ac:dyDescent="0.15">
      <c r="A11" s="7"/>
      <c r="B11" s="10"/>
      <c r="C11" s="10"/>
      <c r="D11" s="10"/>
      <c r="E11" s="20"/>
      <c r="F11" s="21"/>
      <c r="G11" s="22"/>
      <c r="H11" s="23"/>
      <c r="I11" s="23"/>
      <c r="J11" s="23"/>
      <c r="K11" s="21"/>
      <c r="L11" s="21"/>
      <c r="M11" s="8"/>
    </row>
    <row r="12" spans="1:14" ht="16.5" customHeight="1" x14ac:dyDescent="0.15">
      <c r="A12" s="7"/>
      <c r="B12" s="26" t="s">
        <v>21</v>
      </c>
      <c r="C12" s="26"/>
      <c r="D12" s="26"/>
      <c r="E12" s="27">
        <v>75</v>
      </c>
      <c r="F12" s="27"/>
      <c r="G12" s="1"/>
      <c r="H12" s="26" t="s">
        <v>24</v>
      </c>
      <c r="I12" s="26"/>
      <c r="J12" s="26"/>
      <c r="K12" s="28"/>
      <c r="L12" s="28"/>
      <c r="M12" s="8"/>
    </row>
    <row r="13" spans="1:14" ht="16.5" customHeight="1" x14ac:dyDescent="0.15">
      <c r="A13" s="7"/>
      <c r="B13" s="10"/>
      <c r="C13" s="10"/>
      <c r="D13" s="10"/>
      <c r="E13" s="24"/>
      <c r="F13" s="24"/>
      <c r="G13" s="1"/>
      <c r="H13" s="10"/>
      <c r="I13" s="10"/>
      <c r="J13" s="10"/>
      <c r="K13" s="24"/>
      <c r="L13" s="24"/>
      <c r="M13" s="8"/>
    </row>
    <row r="14" spans="1:14" ht="16.5" customHeight="1" x14ac:dyDescent="0.15">
      <c r="A14" s="7"/>
      <c r="B14" s="34" t="str">
        <f>E4&amp;", your present age is "&amp;E6&amp;" Years and you intend to retire at the age of "&amp;K6&amp;" years, your monthly expenses today is Rs."&amp;E8&amp;"/-. As per the details provided by you let us try to find the answers of the basic questions related to your retirement Planning :"</f>
        <v>Miss Sneha Swami, your present age is 37 Years and you intend to retire at the age of 60 years, your monthly expenses today is Rs.500000/-. As per the details provided by you let us try to find the answers of the basic questions related to your retirement Planning :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8"/>
    </row>
    <row r="15" spans="1:14" ht="19.5" customHeight="1" x14ac:dyDescent="0.15">
      <c r="A15" s="7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8"/>
    </row>
    <row r="16" spans="1:14" ht="15" customHeight="1" x14ac:dyDescent="0.15">
      <c r="A16" s="7"/>
      <c r="B16" s="10" t="s">
        <v>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8"/>
    </row>
    <row r="17" spans="1:14" ht="15" customHeight="1" x14ac:dyDescent="0.15">
      <c r="A17" s="7"/>
      <c r="B17" s="34" t="s">
        <v>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8"/>
    </row>
    <row r="18" spans="1:14" ht="15" customHeight="1" x14ac:dyDescent="0.15">
      <c r="A18" s="7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8"/>
    </row>
    <row r="19" spans="1:14" ht="16.5" customHeight="1" x14ac:dyDescent="0.15">
      <c r="A19" s="7"/>
      <c r="B19" s="10" t="s">
        <v>10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8"/>
    </row>
    <row r="20" spans="1:14" ht="16.5" customHeight="1" x14ac:dyDescent="0.15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8"/>
    </row>
    <row r="21" spans="1:14" ht="22.5" customHeight="1" x14ac:dyDescent="0.15">
      <c r="A21" s="7"/>
      <c r="B21" s="33" t="s">
        <v>11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8"/>
    </row>
    <row r="22" spans="1:14" ht="16.5" customHeight="1" x14ac:dyDescent="0.15">
      <c r="A22" s="7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8"/>
    </row>
    <row r="23" spans="1:14" ht="16.5" customHeight="1" x14ac:dyDescent="0.15">
      <c r="A23" s="7"/>
      <c r="B23" s="26" t="s">
        <v>12</v>
      </c>
      <c r="C23" s="26"/>
      <c r="D23" s="26"/>
      <c r="E23" s="35">
        <f>K6-E6</f>
        <v>23</v>
      </c>
      <c r="F23" s="35"/>
      <c r="G23" s="1"/>
      <c r="H23" s="26" t="s">
        <v>5</v>
      </c>
      <c r="I23" s="26"/>
      <c r="J23" s="26"/>
      <c r="K23" s="36">
        <f>K8</f>
        <v>0.06</v>
      </c>
      <c r="L23" s="36"/>
      <c r="M23" s="8"/>
    </row>
    <row r="24" spans="1:14" ht="16.5" customHeight="1" x14ac:dyDescent="0.15">
      <c r="A24" s="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8"/>
    </row>
    <row r="25" spans="1:14" ht="16.5" customHeight="1" x14ac:dyDescent="0.15">
      <c r="A25" s="7"/>
      <c r="B25" s="26" t="s">
        <v>4</v>
      </c>
      <c r="C25" s="26"/>
      <c r="D25" s="26"/>
      <c r="E25" s="37">
        <f>E8</f>
        <v>500000</v>
      </c>
      <c r="F25" s="37"/>
      <c r="G25" s="1"/>
      <c r="H25" s="26" t="s">
        <v>13</v>
      </c>
      <c r="I25" s="26"/>
      <c r="J25" s="26"/>
      <c r="K25" s="37">
        <f>FV(K23,E23,,-E25)</f>
        <v>1909874.8307865295</v>
      </c>
      <c r="L25" s="37"/>
      <c r="M25" s="8"/>
      <c r="N25" s="11">
        <f>ROUNDUP(K25,0)</f>
        <v>1909875</v>
      </c>
    </row>
    <row r="26" spans="1:14" ht="16.5" customHeight="1" x14ac:dyDescent="0.15">
      <c r="A26" s="7"/>
      <c r="B26" s="10"/>
      <c r="C26" s="10"/>
      <c r="D26" s="10"/>
      <c r="E26" s="12"/>
      <c r="F26" s="12"/>
      <c r="G26" s="1"/>
      <c r="H26" s="10"/>
      <c r="I26" s="10"/>
      <c r="J26" s="10"/>
      <c r="K26" s="12"/>
      <c r="L26" s="12"/>
      <c r="M26" s="8"/>
    </row>
    <row r="27" spans="1:14" ht="16.5" customHeight="1" x14ac:dyDescent="0.15">
      <c r="A27" s="7"/>
      <c r="B27" s="34" t="str">
        <f>E4&amp;", if your monthly expenses today is Rs."&amp;E8&amp;"/- then by the time you retire after the next "&amp;E23&amp;" Years your Monthly Expenses would be Rs."&amp;N25&amp;"/-."</f>
        <v>Miss Sneha Swami, if your monthly expenses today is Rs.500000/- then by the time you retire after the next 23 Years your Monthly Expenses would be Rs.1909875/-.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8"/>
    </row>
    <row r="28" spans="1:14" ht="16.5" customHeight="1" x14ac:dyDescent="0.15">
      <c r="A28" s="7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8"/>
    </row>
    <row r="29" spans="1:14" ht="22.5" customHeight="1" x14ac:dyDescent="0.15">
      <c r="A29" s="7"/>
      <c r="B29" s="33" t="s">
        <v>14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8"/>
    </row>
    <row r="30" spans="1:14" ht="16.5" customHeight="1" x14ac:dyDescent="0.15">
      <c r="A30" s="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8"/>
    </row>
    <row r="31" spans="1:14" ht="16.5" customHeight="1" x14ac:dyDescent="0.15">
      <c r="A31" s="7"/>
      <c r="B31" s="26" t="s">
        <v>13</v>
      </c>
      <c r="C31" s="26"/>
      <c r="D31" s="26"/>
      <c r="E31" s="37">
        <f>K25</f>
        <v>1909874.8307865295</v>
      </c>
      <c r="F31" s="37"/>
      <c r="G31" s="1"/>
      <c r="H31" s="26" t="s">
        <v>23</v>
      </c>
      <c r="I31" s="26"/>
      <c r="J31" s="26"/>
      <c r="K31" s="35">
        <f>E12-K6</f>
        <v>15</v>
      </c>
      <c r="L31" s="35"/>
      <c r="M31" s="8"/>
      <c r="N31" s="13">
        <f>K31*100</f>
        <v>1500</v>
      </c>
    </row>
    <row r="32" spans="1:14" ht="16.5" customHeight="1" x14ac:dyDescent="0.15">
      <c r="A32" s="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8"/>
      <c r="N32" s="3">
        <f>ROUNDUP(N31,2)</f>
        <v>1500</v>
      </c>
    </row>
    <row r="33" spans="1:14" ht="16.5" customHeight="1" x14ac:dyDescent="0.15">
      <c r="A33" s="7"/>
      <c r="B33" s="26" t="s">
        <v>22</v>
      </c>
      <c r="C33" s="26"/>
      <c r="D33" s="26"/>
      <c r="E33" s="36">
        <f>((1+K10)/(1+K23))-1</f>
        <v>-9.4339622641509413E-3</v>
      </c>
      <c r="F33" s="36"/>
      <c r="G33" s="1"/>
      <c r="H33" s="26" t="s">
        <v>15</v>
      </c>
      <c r="I33" s="26"/>
      <c r="J33" s="26"/>
      <c r="K33" s="37">
        <f>PV(E33/12,K31*12,-E31,K12,0)</f>
        <v>369446226.8866787</v>
      </c>
      <c r="L33" s="37"/>
      <c r="M33" s="8"/>
      <c r="N33" s="11">
        <f>ROUNDUP(K33,0)</f>
        <v>369446227</v>
      </c>
    </row>
    <row r="34" spans="1:14" ht="16.5" customHeight="1" x14ac:dyDescent="0.15">
      <c r="A34" s="7"/>
      <c r="B34" s="1"/>
      <c r="C34" s="1"/>
      <c r="D34" s="1"/>
      <c r="E34" s="1"/>
      <c r="F34" s="1"/>
      <c r="G34" s="1"/>
      <c r="H34" s="1"/>
      <c r="I34" s="1"/>
      <c r="J34" s="1"/>
      <c r="L34" s="25"/>
      <c r="M34" s="8"/>
    </row>
    <row r="35" spans="1:14" ht="16.5" customHeight="1" x14ac:dyDescent="0.15">
      <c r="A35" s="7"/>
      <c r="B35" s="34" t="str">
        <f>E4&amp;", To receive inflation-adjusted pension of "&amp;E31&amp;", you need to have your Retirement coprus to be Rs."&amp;N33&amp;"/-."</f>
        <v>Miss Sneha Swami, To receive inflation-adjusted pension of 1909874.83078653, you need to have your Retirement coprus to be Rs.369446227/-.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8"/>
    </row>
    <row r="36" spans="1:14" ht="16.5" customHeight="1" x14ac:dyDescent="0.15">
      <c r="A36" s="7"/>
      <c r="B36" s="34" t="s">
        <v>16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8"/>
    </row>
    <row r="37" spans="1:14" ht="22.5" customHeight="1" x14ac:dyDescent="0.15">
      <c r="A37" s="7"/>
      <c r="B37" s="33" t="s">
        <v>17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8"/>
    </row>
    <row r="38" spans="1:14" ht="16.5" customHeight="1" x14ac:dyDescent="0.15">
      <c r="A38" s="7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8"/>
    </row>
    <row r="39" spans="1:14" ht="16.5" customHeight="1" x14ac:dyDescent="0.15">
      <c r="A39" s="7"/>
      <c r="B39" s="26" t="s">
        <v>15</v>
      </c>
      <c r="C39" s="26"/>
      <c r="D39" s="26"/>
      <c r="E39" s="37">
        <f>K33</f>
        <v>369446226.8866787</v>
      </c>
      <c r="F39" s="37"/>
      <c r="G39" s="1"/>
      <c r="H39" s="26" t="s">
        <v>18</v>
      </c>
      <c r="I39" s="26"/>
      <c r="J39" s="26"/>
      <c r="K39" s="37">
        <f>PMT(E41,E23,K12,-E39,0)</f>
        <v>4644608.7512934925</v>
      </c>
      <c r="L39" s="37"/>
      <c r="M39" s="8"/>
      <c r="N39" s="11">
        <f>ROUNDUP(K39,0)</f>
        <v>4644609</v>
      </c>
    </row>
    <row r="40" spans="1:14" ht="16.5" customHeight="1" x14ac:dyDescent="0.15">
      <c r="A40" s="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8"/>
    </row>
    <row r="41" spans="1:14" ht="16.5" customHeight="1" x14ac:dyDescent="0.15">
      <c r="A41" s="7"/>
      <c r="B41" s="26" t="s">
        <v>6</v>
      </c>
      <c r="C41" s="26"/>
      <c r="D41" s="26"/>
      <c r="E41" s="36">
        <f>E10</f>
        <v>0.1</v>
      </c>
      <c r="F41" s="36"/>
      <c r="G41" s="1"/>
      <c r="H41" s="26" t="s">
        <v>19</v>
      </c>
      <c r="I41" s="26"/>
      <c r="J41" s="26"/>
      <c r="K41" s="37">
        <f>PMT(E41/12,E23*12,K12,-E39)</f>
        <v>346719.10263323435</v>
      </c>
      <c r="L41" s="37"/>
      <c r="M41" s="8"/>
      <c r="N41" s="11">
        <f>ROUNDUP(K41,0)</f>
        <v>346720</v>
      </c>
    </row>
    <row r="42" spans="1:14" ht="16.5" customHeight="1" x14ac:dyDescent="0.15">
      <c r="A42" s="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8"/>
    </row>
    <row r="43" spans="1:14" ht="16.5" customHeight="1" x14ac:dyDescent="0.15">
      <c r="A43" s="7"/>
      <c r="B43" s="34" t="str">
        <f>E4&amp;", to build a Retirement Corpus of Rs."&amp;N33&amp;"/- in the next "&amp;E23&amp;" Years, You need to invest Rs."&amp;N39&amp;"/- every year or Rs."&amp;N41&amp;"/-. Every month in different investment avenues, which would help your materialise your Retirement Planning."</f>
        <v>Miss Sneha Swami, to build a Retirement Corpus of Rs.369446227/- in the next 23 Years, You need to invest Rs.4644609/- every year or Rs.346720/-. Every month in different investment avenues, which would help your materialise your Retirement Planning.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8"/>
    </row>
    <row r="44" spans="1:14" ht="21.75" customHeight="1" x14ac:dyDescent="0.15">
      <c r="A44" s="7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8"/>
    </row>
    <row r="45" spans="1:14" ht="16.5" customHeight="1" x14ac:dyDescent="0.15">
      <c r="A45" s="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8"/>
    </row>
    <row r="46" spans="1:14" ht="16.5" customHeight="1" x14ac:dyDescent="0.15">
      <c r="A46" s="7"/>
      <c r="B46" s="14" t="s">
        <v>20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8"/>
    </row>
    <row r="47" spans="1:14" ht="16.5" customHeight="1" x14ac:dyDescent="0.15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8"/>
    </row>
    <row r="48" spans="1:14" ht="8.25" customHeight="1" x14ac:dyDescent="0.1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ht="12.75" hidden="1" customHeight="1" x14ac:dyDescent="0.1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ht="12.75" customHeight="1" x14ac:dyDescent="0.15"/>
  </sheetData>
  <mergeCells count="51">
    <mergeCell ref="B41:D41"/>
    <mergeCell ref="E41:F41"/>
    <mergeCell ref="H41:J41"/>
    <mergeCell ref="K41:L41"/>
    <mergeCell ref="B43:L44"/>
    <mergeCell ref="B35:L36"/>
    <mergeCell ref="B37:L37"/>
    <mergeCell ref="B39:D39"/>
    <mergeCell ref="E39:F39"/>
    <mergeCell ref="H39:J39"/>
    <mergeCell ref="K39:L39"/>
    <mergeCell ref="B31:D31"/>
    <mergeCell ref="E31:F31"/>
    <mergeCell ref="H31:J31"/>
    <mergeCell ref="K31:L31"/>
    <mergeCell ref="B33:D33"/>
    <mergeCell ref="E33:F33"/>
    <mergeCell ref="H33:J33"/>
    <mergeCell ref="K33:L33"/>
    <mergeCell ref="E10:F10"/>
    <mergeCell ref="H10:J10"/>
    <mergeCell ref="K10:L10"/>
    <mergeCell ref="B29:L29"/>
    <mergeCell ref="B14:L15"/>
    <mergeCell ref="B17:L18"/>
    <mergeCell ref="B21:L21"/>
    <mergeCell ref="B23:D23"/>
    <mergeCell ref="E23:F23"/>
    <mergeCell ref="H23:J23"/>
    <mergeCell ref="K23:L23"/>
    <mergeCell ref="B25:D25"/>
    <mergeCell ref="E25:F25"/>
    <mergeCell ref="H25:J25"/>
    <mergeCell ref="K25:L25"/>
    <mergeCell ref="B27:L28"/>
    <mergeCell ref="B12:D12"/>
    <mergeCell ref="E12:F12"/>
    <mergeCell ref="H12:J12"/>
    <mergeCell ref="K12:L12"/>
    <mergeCell ref="B2:L2"/>
    <mergeCell ref="B4:D4"/>
    <mergeCell ref="E4:L4"/>
    <mergeCell ref="B6:D6"/>
    <mergeCell ref="E6:F6"/>
    <mergeCell ref="H6:J6"/>
    <mergeCell ref="K6:L6"/>
    <mergeCell ref="B8:D8"/>
    <mergeCell ref="E8:F8"/>
    <mergeCell ref="H8:J8"/>
    <mergeCell ref="K8:L8"/>
    <mergeCell ref="B10:D10"/>
  </mergeCells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Babasaheb Kadam</cp:lastModifiedBy>
  <dcterms:created xsi:type="dcterms:W3CDTF">2014-11-21T14:38:52Z</dcterms:created>
  <dcterms:modified xsi:type="dcterms:W3CDTF">2024-04-02T07:35:04Z</dcterms:modified>
</cp:coreProperties>
</file>