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"/>
    </mc:Choice>
  </mc:AlternateContent>
  <bookViews>
    <workbookView xWindow="0" yWindow="0" windowWidth="23040" windowHeight="9192"/>
  </bookViews>
  <sheets>
    <sheet name="Bajaj Comparative &amp; Common Size" sheetId="1" r:id="rId1"/>
    <sheet name="Bajaj Trend Analysis" sheetId="2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0" i="2" l="1"/>
  <c r="L21" i="2"/>
  <c r="L22" i="2"/>
  <c r="L23" i="2"/>
  <c r="L24" i="2"/>
  <c r="L25" i="2"/>
  <c r="L26" i="2"/>
  <c r="L27" i="2"/>
  <c r="L28" i="2"/>
  <c r="L19" i="2"/>
  <c r="M28" i="2"/>
  <c r="M20" i="2"/>
  <c r="M21" i="2"/>
  <c r="M22" i="2"/>
  <c r="M23" i="2"/>
  <c r="M24" i="2"/>
  <c r="M25" i="2"/>
  <c r="M26" i="2"/>
  <c r="M27" i="2"/>
  <c r="M19" i="2"/>
  <c r="K20" i="2"/>
  <c r="K21" i="2"/>
  <c r="K22" i="2"/>
  <c r="K23" i="2"/>
  <c r="K24" i="2"/>
  <c r="K25" i="2"/>
  <c r="K26" i="2"/>
  <c r="K27" i="2"/>
  <c r="K28" i="2"/>
  <c r="K19" i="2"/>
  <c r="J20" i="2"/>
  <c r="J21" i="2"/>
  <c r="J22" i="2"/>
  <c r="J23" i="2"/>
  <c r="J24" i="2"/>
  <c r="J25" i="2"/>
  <c r="J26" i="2"/>
  <c r="J27" i="2"/>
  <c r="J28" i="2"/>
  <c r="J19" i="2"/>
  <c r="I20" i="2"/>
  <c r="I21" i="2"/>
  <c r="I22" i="2"/>
  <c r="I23" i="2"/>
  <c r="I24" i="2"/>
  <c r="I25" i="2"/>
  <c r="I26" i="2"/>
  <c r="I27" i="2"/>
  <c r="I28" i="2"/>
  <c r="I19" i="2"/>
  <c r="M6" i="2"/>
  <c r="M7" i="2"/>
  <c r="M8" i="2"/>
  <c r="M9" i="2"/>
  <c r="M10" i="2"/>
  <c r="M11" i="2"/>
  <c r="M12" i="2"/>
  <c r="M13" i="2"/>
  <c r="M14" i="2"/>
  <c r="M15" i="2"/>
  <c r="M16" i="2"/>
  <c r="M5" i="2"/>
  <c r="L6" i="2"/>
  <c r="L7" i="2"/>
  <c r="L8" i="2"/>
  <c r="L9" i="2"/>
  <c r="L10" i="2"/>
  <c r="L11" i="2"/>
  <c r="L12" i="2"/>
  <c r="L13" i="2"/>
  <c r="L14" i="2"/>
  <c r="L15" i="2"/>
  <c r="L16" i="2"/>
  <c r="L5" i="2"/>
  <c r="K6" i="2"/>
  <c r="K7" i="2"/>
  <c r="K8" i="2"/>
  <c r="K9" i="2"/>
  <c r="K10" i="2"/>
  <c r="K11" i="2"/>
  <c r="K12" i="2"/>
  <c r="K13" i="2"/>
  <c r="K14" i="2"/>
  <c r="K15" i="2"/>
  <c r="K16" i="2"/>
  <c r="K5" i="2"/>
  <c r="J6" i="2"/>
  <c r="J7" i="2"/>
  <c r="J8" i="2"/>
  <c r="J9" i="2"/>
  <c r="J10" i="2"/>
  <c r="J11" i="2"/>
  <c r="J12" i="2"/>
  <c r="J13" i="2"/>
  <c r="J14" i="2"/>
  <c r="J15" i="2"/>
  <c r="J16" i="2"/>
  <c r="J5" i="2"/>
  <c r="I6" i="2"/>
  <c r="I7" i="2"/>
  <c r="I8" i="2"/>
  <c r="I9" i="2"/>
  <c r="I10" i="2"/>
  <c r="I11" i="2"/>
  <c r="I12" i="2"/>
  <c r="I13" i="2"/>
  <c r="I14" i="2"/>
  <c r="I15" i="2"/>
  <c r="I16" i="2"/>
  <c r="I5" i="2"/>
  <c r="J22" i="1"/>
  <c r="J23" i="1"/>
  <c r="J24" i="1"/>
  <c r="J25" i="1"/>
  <c r="J26" i="1"/>
  <c r="J27" i="1"/>
  <c r="J28" i="1"/>
  <c r="J29" i="1"/>
  <c r="J30" i="1"/>
  <c r="J21" i="1"/>
  <c r="I22" i="1"/>
  <c r="I23" i="1"/>
  <c r="I24" i="1"/>
  <c r="I25" i="1"/>
  <c r="I26" i="1"/>
  <c r="I27" i="1"/>
  <c r="I28" i="1"/>
  <c r="I29" i="1"/>
  <c r="I30" i="1"/>
  <c r="I21" i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21" i="1"/>
  <c r="H21" i="1" s="1"/>
  <c r="F16" i="1"/>
  <c r="E16" i="1"/>
  <c r="D16" i="1"/>
  <c r="C16" i="1"/>
  <c r="B16" i="1"/>
  <c r="F13" i="1"/>
  <c r="F14" i="1" s="1"/>
  <c r="E13" i="1"/>
  <c r="E14" i="1" s="1"/>
  <c r="D13" i="1"/>
  <c r="D14" i="1" s="1"/>
  <c r="C13" i="1"/>
  <c r="C14" i="1" s="1"/>
  <c r="B13" i="1"/>
  <c r="B14" i="1" s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I9" i="1" s="1"/>
  <c r="F8" i="1"/>
  <c r="E8" i="1"/>
  <c r="D8" i="1"/>
  <c r="C8" i="1"/>
  <c r="B8" i="1"/>
  <c r="F6" i="1"/>
  <c r="E6" i="1"/>
  <c r="D6" i="1"/>
  <c r="C6" i="1"/>
  <c r="B6" i="1"/>
  <c r="F5" i="1"/>
  <c r="E5" i="1"/>
  <c r="D5" i="1"/>
  <c r="C5" i="1"/>
  <c r="B5" i="1"/>
  <c r="I5" i="1" s="1"/>
  <c r="F4" i="1"/>
  <c r="E4" i="1"/>
  <c r="D4" i="1"/>
  <c r="C4" i="1"/>
  <c r="B4" i="1"/>
  <c r="I8" i="1" l="1"/>
  <c r="I14" i="1"/>
  <c r="I6" i="1"/>
  <c r="J8" i="1"/>
  <c r="G16" i="1"/>
  <c r="H16" i="1" s="1"/>
  <c r="I10" i="1"/>
  <c r="G8" i="1"/>
  <c r="H8" i="1" s="1"/>
  <c r="D15" i="1"/>
  <c r="J6" i="1"/>
  <c r="I12" i="1"/>
  <c r="G11" i="1"/>
  <c r="H11" i="1" s="1"/>
  <c r="J14" i="1"/>
  <c r="J12" i="1"/>
  <c r="J11" i="1"/>
  <c r="E7" i="1"/>
  <c r="I16" i="1"/>
  <c r="G10" i="1"/>
  <c r="H10" i="1" s="1"/>
  <c r="G5" i="1"/>
  <c r="H5" i="1" s="1"/>
  <c r="G13" i="1"/>
  <c r="H13" i="1" s="1"/>
  <c r="J9" i="1"/>
  <c r="G9" i="1"/>
  <c r="H9" i="1" s="1"/>
  <c r="I11" i="1"/>
  <c r="J16" i="1"/>
  <c r="G12" i="1"/>
  <c r="H12" i="1" s="1"/>
  <c r="G14" i="1"/>
  <c r="H14" i="1" s="1"/>
  <c r="G6" i="1"/>
  <c r="H6" i="1" s="1"/>
  <c r="I13" i="1"/>
  <c r="J5" i="1"/>
  <c r="J10" i="1"/>
  <c r="C15" i="1"/>
  <c r="J13" i="1"/>
  <c r="B15" i="1"/>
  <c r="I15" i="1" s="1"/>
  <c r="E15" i="1"/>
  <c r="B7" i="1"/>
  <c r="I7" i="1" s="1"/>
  <c r="C7" i="1"/>
  <c r="D7" i="1"/>
  <c r="F7" i="1"/>
  <c r="F15" i="1"/>
  <c r="G7" i="1" l="1"/>
  <c r="H7" i="1" s="1"/>
  <c r="J7" i="1"/>
  <c r="J15" i="1"/>
  <c r="G15" i="1"/>
  <c r="H15" i="1" s="1"/>
</calcChain>
</file>

<file path=xl/sharedStrings.xml><?xml version="1.0" encoding="utf-8"?>
<sst xmlns="http://schemas.openxmlformats.org/spreadsheetml/2006/main" count="90" uniqueCount="32">
  <si>
    <t>Narration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</si>
  <si>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</si>
  <si>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</si>
  <si>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</si>
  <si>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</si>
  <si>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</si>
  <si>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</si>
  <si>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</si>
  <si>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</si>
  <si>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</si>
  <si>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EPS</t>
  </si>
  <si>
    <t>Price to earning</t>
  </si>
  <si>
    <t xml:space="preserve">Comparitaive Analysis </t>
  </si>
  <si>
    <t>Common Size Analysis</t>
  </si>
  <si>
    <t xml:space="preserve">Abs Change </t>
  </si>
  <si>
    <t xml:space="preserve">% Change </t>
  </si>
  <si>
    <t>% Change 2021</t>
  </si>
  <si>
    <t>% Change  2022</t>
  </si>
  <si>
    <t>Total</t>
  </si>
  <si>
    <t>Equity Share Capital</t>
  </si>
  <si>
    <t>Reserves</t>
  </si>
  <si>
    <t>Borrowings</t>
  </si>
  <si>
    <t>Other Liabilities</t>
  </si>
  <si>
    <t>Net Block</t>
  </si>
  <si>
    <t>Capital Work in Progress</t>
  </si>
  <si>
    <t>Investments</t>
  </si>
  <si>
    <t>Other Assets</t>
  </si>
  <si>
    <t>Balance sheet</t>
  </si>
  <si>
    <t>Bajaj Finance LTD</t>
  </si>
  <si>
    <t>Profit &amp; Loss</t>
  </si>
  <si>
    <t xml:space="preserve">Price </t>
  </si>
  <si>
    <t>Trend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</si>
</sst>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mmm\-yy;@"/>
    <numFmt numFmtId="165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</font>
    <font>
      <sz val="11"/>
      <color theme="0"/>
      <name val="Times New Roman"/>
      <family val="1"/>
    </font>
    <font>
      <sz val="14"/>
      <color theme="1"/>
      <name val="Times New Roman"/>
      <family val="1"/>
    </font>
    <font>
      <sz val="11"/>
      <color theme="3"/>
      <name val="Times New Roman"/>
      <family val="1"/>
    </font>
    <font>
      <sz val="11"/>
      <color rgb="FFFFFFFF"/>
      <name val="Times New Roman"/>
      <family val="1"/>
    </font>
    <font>
      <sz val="11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0275D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275D8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3" fillId="0" borderId="0" xfId="0" applyFont="1" applyBorder="1"/>
    <xf numFmtId="9" fontId="0" fillId="0" borderId="0" xfId="2" applyFont="1"/>
    <xf numFmtId="17" fontId="2" fillId="5" borderId="1" xfId="0" applyNumberFormat="1" applyFont="1" applyFill="1" applyBorder="1" applyAlignment="1">
      <alignment horizontal="center" vertical="center"/>
    </xf>
    <xf numFmtId="9" fontId="0" fillId="0" borderId="0" xfId="2" applyFont="1" applyFill="1"/>
    <xf numFmtId="165" fontId="4" fillId="0" borderId="0" xfId="1" applyNumberFormat="1" applyFont="1" applyFill="1" applyBorder="1"/>
    <xf numFmtId="0" fontId="5" fillId="2" borderId="0" xfId="0" applyFont="1" applyFill="1" applyBorder="1"/>
    <xf numFmtId="164" fontId="5" fillId="2" borderId="0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9" fontId="2" fillId="0" borderId="1" xfId="0" applyNumberFormat="1" applyFont="1" applyBorder="1"/>
    <xf numFmtId="0" fontId="5" fillId="2" borderId="1" xfId="0" applyFont="1" applyFill="1" applyBorder="1"/>
    <xf numFmtId="164" fontId="5" fillId="2" borderId="1" xfId="0" applyNumberFormat="1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0" fontId="2" fillId="5" borderId="1" xfId="0" applyFont="1" applyFill="1" applyBorder="1"/>
    <xf numFmtId="0" fontId="2" fillId="0" borderId="1" xfId="0" applyFont="1" applyBorder="1"/>
    <xf numFmtId="43" fontId="2" fillId="0" borderId="1" xfId="1" applyFont="1" applyBorder="1" applyAlignment="1">
      <alignment horizontal="center"/>
    </xf>
    <xf numFmtId="9" fontId="2" fillId="0" borderId="1" xfId="2" applyFont="1" applyBorder="1"/>
    <xf numFmtId="2" fontId="2" fillId="0" borderId="1" xfId="1" applyNumberFormat="1" applyFont="1" applyBorder="1" applyAlignment="1">
      <alignment horizontal="center"/>
    </xf>
    <xf numFmtId="164" fontId="8" fillId="7" borderId="1" xfId="0" applyNumberFormat="1" applyFont="1" applyFill="1" applyBorder="1" applyAlignment="1">
      <alignment horizontal="center"/>
    </xf>
    <xf numFmtId="0" fontId="2" fillId="4" borderId="1" xfId="0" applyFont="1" applyFill="1" applyBorder="1"/>
    <xf numFmtId="165" fontId="2" fillId="0" borderId="1" xfId="1" applyNumberFormat="1" applyFont="1" applyFill="1" applyBorder="1" applyAlignment="1">
      <alignment horizontal="center"/>
    </xf>
    <xf numFmtId="165" fontId="9" fillId="0" borderId="1" xfId="1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9" fontId="2" fillId="0" borderId="2" xfId="0" applyNumberFormat="1" applyFont="1" applyBorder="1"/>
    <xf numFmtId="43" fontId="2" fillId="0" borderId="1" xfId="0" applyNumberFormat="1" applyFont="1" applyBorder="1"/>
    <xf numFmtId="2" fontId="2" fillId="0" borderId="1" xfId="0" applyNumberFormat="1" applyFont="1" applyBorder="1"/>
    <xf numFmtId="0" fontId="5" fillId="3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ownloads\Bajaj%20Finance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fit &amp; Loss"/>
      <sheetName val="Quarters"/>
      <sheetName val="Balance Sheet"/>
      <sheetName val="Cash Flow"/>
      <sheetName val="Customization"/>
      <sheetName val="Data Sheet"/>
    </sheetNames>
    <sheetDataSet>
      <sheetData sheetId="0"/>
      <sheetData sheetId="1"/>
      <sheetData sheetId="2"/>
      <sheetData sheetId="3"/>
      <sheetData sheetId="4"/>
      <sheetData sheetId="5">
        <row r="16">
          <cell r="G16">
            <v>44286</v>
          </cell>
          <cell r="H16">
            <v>44651</v>
          </cell>
          <cell r="I16">
            <v>45016</v>
          </cell>
          <cell r="J16">
            <v>45382</v>
          </cell>
          <cell r="K16">
            <v>45747</v>
          </cell>
        </row>
        <row r="17">
          <cell r="G17">
            <v>26672.87</v>
          </cell>
          <cell r="H17">
            <v>31640.55</v>
          </cell>
          <cell r="I17">
            <v>41411.21</v>
          </cell>
          <cell r="J17">
            <v>54973.9</v>
          </cell>
          <cell r="K17">
            <v>69709.440000000002</v>
          </cell>
        </row>
        <row r="21">
          <cell r="G21">
            <v>1334.39</v>
          </cell>
          <cell r="H21">
            <v>1878.31</v>
          </cell>
          <cell r="I21">
            <v>2040.61</v>
          </cell>
          <cell r="J21">
            <v>2094.2199999999998</v>
          </cell>
          <cell r="K21">
            <v>2880.74</v>
          </cell>
        </row>
        <row r="22">
          <cell r="G22">
            <v>2502.42</v>
          </cell>
          <cell r="H22">
            <v>3597.4</v>
          </cell>
          <cell r="I22">
            <v>5105.07</v>
          </cell>
          <cell r="J22">
            <v>6409.06</v>
          </cell>
          <cell r="K22">
            <v>7526.25</v>
          </cell>
        </row>
        <row r="23">
          <cell r="G23">
            <v>672.28</v>
          </cell>
          <cell r="H23">
            <v>1237.19</v>
          </cell>
          <cell r="I23">
            <v>1986.95</v>
          </cell>
          <cell r="J23">
            <v>2482.5</v>
          </cell>
          <cell r="K23">
            <v>2801.28</v>
          </cell>
        </row>
        <row r="24">
          <cell r="G24">
            <v>6330.23</v>
          </cell>
          <cell r="H24">
            <v>5167.34</v>
          </cell>
          <cell r="I24">
            <v>3560.12</v>
          </cell>
          <cell r="J24">
            <v>5112.92</v>
          </cell>
          <cell r="K24">
            <v>8546.02</v>
          </cell>
        </row>
        <row r="25">
          <cell r="G25">
            <v>3.33</v>
          </cell>
          <cell r="H25">
            <v>-17.34</v>
          </cell>
          <cell r="I25">
            <v>-4.6100000000000003</v>
          </cell>
          <cell r="J25">
            <v>3.71</v>
          </cell>
          <cell r="K25">
            <v>-2.35</v>
          </cell>
        </row>
        <row r="26">
          <cell r="G26">
            <v>325.27</v>
          </cell>
          <cell r="H26">
            <v>384.57</v>
          </cell>
          <cell r="I26">
            <v>485.38</v>
          </cell>
          <cell r="J26">
            <v>683.32</v>
          </cell>
          <cell r="K26">
            <v>880.99</v>
          </cell>
        </row>
        <row r="27">
          <cell r="G27">
            <v>9519.35</v>
          </cell>
          <cell r="H27">
            <v>9854.6200000000008</v>
          </cell>
          <cell r="I27">
            <v>12700.61</v>
          </cell>
          <cell r="J27">
            <v>18886.02</v>
          </cell>
          <cell r="K27">
            <v>24992.18</v>
          </cell>
        </row>
        <row r="28">
          <cell r="G28">
            <v>5992.26</v>
          </cell>
          <cell r="H28">
            <v>9503.7800000000007</v>
          </cell>
          <cell r="I28">
            <v>15527.86</v>
          </cell>
          <cell r="J28">
            <v>19309.57</v>
          </cell>
          <cell r="K28">
            <v>22079.63</v>
          </cell>
        </row>
        <row r="29">
          <cell r="G29">
            <v>1572.44</v>
          </cell>
          <cell r="H29">
            <v>2475.5500000000002</v>
          </cell>
          <cell r="I29">
            <v>4020.17</v>
          </cell>
          <cell r="J29">
            <v>4858.3999999999996</v>
          </cell>
          <cell r="K29">
            <v>5300.15</v>
          </cell>
        </row>
        <row r="30">
          <cell r="G30">
            <v>4419.82</v>
          </cell>
          <cell r="H30">
            <v>7028.23</v>
          </cell>
          <cell r="I30">
            <v>11507.69</v>
          </cell>
          <cell r="J30">
            <v>14451.17</v>
          </cell>
          <cell r="K30">
            <v>16637.82</v>
          </cell>
        </row>
        <row r="90">
          <cell r="G90">
            <v>514.99</v>
          </cell>
          <cell r="H90">
            <v>726</v>
          </cell>
          <cell r="I90">
            <v>561.67999999999995</v>
          </cell>
          <cell r="J90">
            <v>724.53</v>
          </cell>
          <cell r="K90">
            <v>894.56</v>
          </cell>
        </row>
        <row r="93">
          <cell r="G93">
            <v>602.58000000000004</v>
          </cell>
          <cell r="H93">
            <v>605.41999999999996</v>
          </cell>
          <cell r="I93">
            <v>605.41999999999996</v>
          </cell>
          <cell r="J93">
            <v>619</v>
          </cell>
          <cell r="K93">
            <v>621.41999999999996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abSelected="1" topLeftCell="A2" workbookViewId="0">
      <selection activeCell="L7" sqref="L7"/>
    </sheetView>
  </sheetViews>
  <sheetFormatPr defaultRowHeight="14.4" x14ac:dyDescent="0.3"/>
  <cols>
    <col min="1" max="1" width="21" bestFit="1" customWidth="1"/>
    <col min="2" max="6" width="11.21875" bestFit="1" customWidth="1"/>
    <col min="7" max="7" width="10.88671875" bestFit="1" customWidth="1"/>
    <col min="8" max="8" width="9.44140625" bestFit="1" customWidth="1"/>
    <col min="9" max="9" width="13.5546875" bestFit="1" customWidth="1"/>
    <col min="10" max="10" width="14" bestFit="1" customWidth="1"/>
    <col min="11" max="11" width="13.77734375" customWidth="1"/>
    <col min="12" max="12" width="14.6640625" customWidth="1"/>
    <col min="13" max="13" width="13.44140625" bestFit="1" customWidth="1"/>
  </cols>
  <sheetData>
    <row r="1" spans="1:13" ht="18" x14ac:dyDescent="0.35">
      <c r="A1" s="30" t="s">
        <v>28</v>
      </c>
      <c r="B1" s="30"/>
      <c r="C1" s="30"/>
      <c r="D1" s="30"/>
      <c r="E1" s="30"/>
      <c r="F1" s="30"/>
      <c r="G1" s="30"/>
      <c r="H1" s="30"/>
      <c r="I1" s="30"/>
      <c r="J1" s="30"/>
    </row>
    <row r="2" spans="1:13" ht="18" x14ac:dyDescent="0.35">
      <c r="A2" s="31" t="s">
        <v>29</v>
      </c>
      <c r="B2" s="31"/>
      <c r="C2" s="31"/>
      <c r="D2" s="31"/>
      <c r="E2" s="31"/>
      <c r="F2" s="31"/>
      <c r="G2" s="31"/>
      <c r="H2" s="31"/>
      <c r="I2" s="31"/>
      <c r="J2" s="31"/>
    </row>
    <row r="3" spans="1:13" x14ac:dyDescent="0.3">
      <c r="A3" s="1"/>
      <c r="B3" s="1"/>
      <c r="C3" s="1"/>
      <c r="D3" s="1"/>
      <c r="E3" s="1"/>
      <c r="F3" s="1"/>
      <c r="G3" s="32" t="s">
        <v>12</v>
      </c>
      <c r="H3" s="32"/>
      <c r="I3" s="33" t="s">
        <v>13</v>
      </c>
      <c r="J3" s="33"/>
    </row>
    <row r="4" spans="1:13" x14ac:dyDescent="0.3">
      <c r="A4" s="7" t="s">
        <v>0</v>
      </c>
      <c r="B4" s="8">
        <f>'[1]Data Sheet'!G16</f>
        <v>44286</v>
      </c>
      <c r="C4" s="8">
        <f>'[1]Data Sheet'!H16</f>
        <v>44651</v>
      </c>
      <c r="D4" s="8">
        <f>'[1]Data Sheet'!I16</f>
        <v>45016</v>
      </c>
      <c r="E4" s="8">
        <f>'[1]Data Sheet'!J16</f>
        <v>45382</v>
      </c>
      <c r="F4" s="8">
        <f>'[1]Data Sheet'!K16</f>
        <v>45747</v>
      </c>
      <c r="G4" s="23" t="s">
        <v>14</v>
      </c>
      <c r="H4" s="23" t="s">
        <v>15</v>
      </c>
      <c r="I4" s="24" t="s">
        <v>16</v>
      </c>
      <c r="J4" s="24" t="s">
        <v>17</v>
      </c>
    </row>
    <row r="5" spans="1:13" x14ac:dyDescent="0.3">
      <c r="A5" s="15" t="s">
        <v>1</v>
      </c>
      <c r="B5" s="16">
        <f>'[1]Data Sheet'!G17</f>
        <v>26672.87</v>
      </c>
      <c r="C5" s="16">
        <f>'[1]Data Sheet'!H17</f>
        <v>31640.55</v>
      </c>
      <c r="D5" s="16">
        <f>'[1]Data Sheet'!I17</f>
        <v>41411.21</v>
      </c>
      <c r="E5" s="16">
        <f>'[1]Data Sheet'!J17</f>
        <v>54973.9</v>
      </c>
      <c r="F5" s="16">
        <f>'[1]Data Sheet'!K17</f>
        <v>69709.440000000002</v>
      </c>
      <c r="G5" s="25">
        <f>C5-B5</f>
        <v>4967.68</v>
      </c>
      <c r="H5" s="17">
        <f>(G5/B5)*100</f>
        <v>18.62446748325171</v>
      </c>
      <c r="I5" s="17">
        <f>B5/$B$5</f>
        <v>1</v>
      </c>
      <c r="J5" s="17">
        <f>C5/$C$5</f>
        <v>1</v>
      </c>
      <c r="K5" s="3"/>
      <c r="L5" s="3"/>
      <c r="M5" s="3"/>
    </row>
    <row r="6" spans="1:13" x14ac:dyDescent="0.3">
      <c r="A6" s="15" t="s">
        <v>2</v>
      </c>
      <c r="B6" s="16">
        <f>SUM('[1]Data Sheet'!G18,'[1]Data Sheet'!G20:G24, -1*'[1]Data Sheet'!G19)</f>
        <v>10839.32</v>
      </c>
      <c r="C6" s="16">
        <f>SUM('[1]Data Sheet'!H18,'[1]Data Sheet'!H20:H24, -1*'[1]Data Sheet'!H19)</f>
        <v>11880.24</v>
      </c>
      <c r="D6" s="16">
        <f>SUM('[1]Data Sheet'!I18,'[1]Data Sheet'!I20:I24, -1*'[1]Data Sheet'!I19)</f>
        <v>12692.75</v>
      </c>
      <c r="E6" s="16">
        <f>SUM('[1]Data Sheet'!J18,'[1]Data Sheet'!J20:J24, -1*'[1]Data Sheet'!J19)</f>
        <v>16098.7</v>
      </c>
      <c r="F6" s="16">
        <f>SUM('[1]Data Sheet'!K18,'[1]Data Sheet'!K20:K24, -1*'[1]Data Sheet'!K19)</f>
        <v>21754.29</v>
      </c>
      <c r="G6" s="25">
        <f t="shared" ref="G6:G16" si="0">C6-B6</f>
        <v>1040.92</v>
      </c>
      <c r="H6" s="17">
        <f t="shared" ref="H6:H16" si="1">(G6/B6)*100</f>
        <v>9.6031854396770289</v>
      </c>
      <c r="I6" s="17">
        <f t="shared" ref="I6:I16" si="2">B6/$B$5</f>
        <v>0.40637996586044173</v>
      </c>
      <c r="J6" s="17">
        <f t="shared" ref="J6:J16" si="3">C6/$C$5</f>
        <v>0.37547514186700293</v>
      </c>
      <c r="K6" s="3"/>
      <c r="L6" s="3"/>
      <c r="M6" s="3"/>
    </row>
    <row r="7" spans="1:13" x14ac:dyDescent="0.3">
      <c r="A7" s="15" t="s">
        <v>3</v>
      </c>
      <c r="B7" s="16">
        <f t="shared" ref="B7:F7" si="4">B5-B6</f>
        <v>15833.55</v>
      </c>
      <c r="C7" s="16">
        <f t="shared" si="4"/>
        <v>19760.309999999998</v>
      </c>
      <c r="D7" s="16">
        <f t="shared" si="4"/>
        <v>28718.46</v>
      </c>
      <c r="E7" s="16">
        <f t="shared" si="4"/>
        <v>38875.199999999997</v>
      </c>
      <c r="F7" s="16">
        <f t="shared" si="4"/>
        <v>47955.15</v>
      </c>
      <c r="G7" s="25">
        <f t="shared" si="0"/>
        <v>3926.7599999999984</v>
      </c>
      <c r="H7" s="17">
        <f t="shared" si="1"/>
        <v>24.800250101840703</v>
      </c>
      <c r="I7" s="17">
        <f t="shared" si="2"/>
        <v>0.59362003413955833</v>
      </c>
      <c r="J7" s="17">
        <f t="shared" si="3"/>
        <v>0.62452485813299696</v>
      </c>
      <c r="K7" s="3"/>
      <c r="L7" s="5"/>
      <c r="M7" s="3"/>
    </row>
    <row r="8" spans="1:13" x14ac:dyDescent="0.3">
      <c r="A8" s="15" t="s">
        <v>4</v>
      </c>
      <c r="B8" s="18">
        <f>'[1]Data Sheet'!G25</f>
        <v>3.33</v>
      </c>
      <c r="C8" s="18">
        <f>'[1]Data Sheet'!H25</f>
        <v>-17.34</v>
      </c>
      <c r="D8" s="18">
        <f>'[1]Data Sheet'!I25</f>
        <v>-4.6100000000000003</v>
      </c>
      <c r="E8" s="18">
        <f>'[1]Data Sheet'!J25</f>
        <v>3.71</v>
      </c>
      <c r="F8" s="18">
        <f>'[1]Data Sheet'!K25</f>
        <v>-2.35</v>
      </c>
      <c r="G8" s="26">
        <f t="shared" si="0"/>
        <v>-20.67</v>
      </c>
      <c r="H8" s="17">
        <f t="shared" si="1"/>
        <v>-620.72072072072069</v>
      </c>
      <c r="I8" s="17">
        <f t="shared" si="2"/>
        <v>1.2484595770908793E-4</v>
      </c>
      <c r="J8" s="17">
        <f t="shared" si="3"/>
        <v>-5.4803092866590494E-4</v>
      </c>
      <c r="K8" s="3"/>
      <c r="L8" s="3"/>
      <c r="M8" s="3"/>
    </row>
    <row r="9" spans="1:13" x14ac:dyDescent="0.3">
      <c r="A9" s="15" t="s">
        <v>5</v>
      </c>
      <c r="B9" s="16">
        <f>'[1]Data Sheet'!G26</f>
        <v>325.27</v>
      </c>
      <c r="C9" s="16">
        <f>'[1]Data Sheet'!H26</f>
        <v>384.57</v>
      </c>
      <c r="D9" s="16">
        <f>'[1]Data Sheet'!I26</f>
        <v>485.38</v>
      </c>
      <c r="E9" s="16">
        <f>'[1]Data Sheet'!J26</f>
        <v>683.32</v>
      </c>
      <c r="F9" s="16">
        <f>'[1]Data Sheet'!K26</f>
        <v>880.99</v>
      </c>
      <c r="G9" s="25">
        <f t="shared" si="0"/>
        <v>59.300000000000011</v>
      </c>
      <c r="H9" s="17">
        <f t="shared" si="1"/>
        <v>18.231008085590435</v>
      </c>
      <c r="I9" s="17">
        <f t="shared" si="2"/>
        <v>1.2194788187397906E-2</v>
      </c>
      <c r="J9" s="17">
        <f t="shared" si="3"/>
        <v>1.2154339921398333E-2</v>
      </c>
      <c r="K9" s="3"/>
      <c r="L9" s="3"/>
      <c r="M9" s="3"/>
    </row>
    <row r="10" spans="1:13" x14ac:dyDescent="0.3">
      <c r="A10" s="15" t="s">
        <v>6</v>
      </c>
      <c r="B10" s="16">
        <f>'[1]Data Sheet'!G27</f>
        <v>9519.35</v>
      </c>
      <c r="C10" s="16">
        <f>'[1]Data Sheet'!H27</f>
        <v>9854.6200000000008</v>
      </c>
      <c r="D10" s="16">
        <f>'[1]Data Sheet'!I27</f>
        <v>12700.61</v>
      </c>
      <c r="E10" s="16">
        <f>'[1]Data Sheet'!J27</f>
        <v>18886.02</v>
      </c>
      <c r="F10" s="16">
        <f>'[1]Data Sheet'!K27</f>
        <v>24992.18</v>
      </c>
      <c r="G10" s="25">
        <f t="shared" si="0"/>
        <v>335.27000000000044</v>
      </c>
      <c r="H10" s="17">
        <f t="shared" si="1"/>
        <v>3.5219841690871792</v>
      </c>
      <c r="I10" s="17">
        <f t="shared" si="2"/>
        <v>0.35689260285826013</v>
      </c>
      <c r="J10" s="17">
        <f t="shared" si="3"/>
        <v>0.31145539505476361</v>
      </c>
      <c r="K10" s="3"/>
      <c r="L10" s="3"/>
      <c r="M10" s="3"/>
    </row>
    <row r="11" spans="1:13" x14ac:dyDescent="0.3">
      <c r="A11" s="15" t="s">
        <v>7</v>
      </c>
      <c r="B11" s="16">
        <f>'[1]Data Sheet'!G28</f>
        <v>5992.26</v>
      </c>
      <c r="C11" s="16">
        <f>'[1]Data Sheet'!H28</f>
        <v>9503.7800000000007</v>
      </c>
      <c r="D11" s="16">
        <f>'[1]Data Sheet'!I28</f>
        <v>15527.86</v>
      </c>
      <c r="E11" s="16">
        <f>'[1]Data Sheet'!J28</f>
        <v>19309.57</v>
      </c>
      <c r="F11" s="16">
        <f>'[1]Data Sheet'!K28</f>
        <v>22079.63</v>
      </c>
      <c r="G11" s="25">
        <f t="shared" si="0"/>
        <v>3511.5200000000004</v>
      </c>
      <c r="H11" s="17">
        <f t="shared" si="1"/>
        <v>58.600928531138507</v>
      </c>
      <c r="I11" s="17">
        <f t="shared" si="2"/>
        <v>0.2246574890516094</v>
      </c>
      <c r="J11" s="17">
        <f t="shared" si="3"/>
        <v>0.30036709222816926</v>
      </c>
      <c r="K11" s="3"/>
      <c r="L11" s="3"/>
      <c r="M11" s="3"/>
    </row>
    <row r="12" spans="1:13" x14ac:dyDescent="0.3">
      <c r="A12" s="15" t="s">
        <v>8</v>
      </c>
      <c r="B12" s="16">
        <f>'[1]Data Sheet'!G29</f>
        <v>1572.44</v>
      </c>
      <c r="C12" s="16">
        <f>'[1]Data Sheet'!H29</f>
        <v>2475.5500000000002</v>
      </c>
      <c r="D12" s="16">
        <f>'[1]Data Sheet'!I29</f>
        <v>4020.17</v>
      </c>
      <c r="E12" s="16">
        <f>'[1]Data Sheet'!J29</f>
        <v>4858.3999999999996</v>
      </c>
      <c r="F12" s="16">
        <f>'[1]Data Sheet'!K29</f>
        <v>5300.15</v>
      </c>
      <c r="G12" s="25">
        <f t="shared" si="0"/>
        <v>903.11000000000013</v>
      </c>
      <c r="H12" s="17">
        <f t="shared" si="1"/>
        <v>57.433669965149711</v>
      </c>
      <c r="I12" s="17">
        <f t="shared" si="2"/>
        <v>5.8952786108131601E-2</v>
      </c>
      <c r="J12" s="17">
        <f t="shared" si="3"/>
        <v>7.8239790395552553E-2</v>
      </c>
      <c r="K12" s="3"/>
      <c r="L12" s="3"/>
      <c r="M12" s="3"/>
    </row>
    <row r="13" spans="1:13" x14ac:dyDescent="0.3">
      <c r="A13" s="15" t="s">
        <v>9</v>
      </c>
      <c r="B13" s="16">
        <f>'[1]Data Sheet'!G30</f>
        <v>4419.82</v>
      </c>
      <c r="C13" s="16">
        <f>'[1]Data Sheet'!H30</f>
        <v>7028.23</v>
      </c>
      <c r="D13" s="16">
        <f>'[1]Data Sheet'!I30</f>
        <v>11507.69</v>
      </c>
      <c r="E13" s="16">
        <f>'[1]Data Sheet'!J30</f>
        <v>14451.17</v>
      </c>
      <c r="F13" s="16">
        <f>'[1]Data Sheet'!K30</f>
        <v>16637.82</v>
      </c>
      <c r="G13" s="25">
        <f t="shared" si="0"/>
        <v>2608.41</v>
      </c>
      <c r="H13" s="17">
        <f t="shared" si="1"/>
        <v>59.0162042798123</v>
      </c>
      <c r="I13" s="17">
        <f t="shared" si="2"/>
        <v>0.16570470294347778</v>
      </c>
      <c r="J13" s="17">
        <f t="shared" si="3"/>
        <v>0.22212730183261667</v>
      </c>
      <c r="K13" s="3"/>
      <c r="L13" s="3"/>
      <c r="M13" s="3"/>
    </row>
    <row r="14" spans="1:13" x14ac:dyDescent="0.3">
      <c r="A14" s="15" t="s">
        <v>10</v>
      </c>
      <c r="B14" s="16">
        <f>IF('[1]Data Sheet'!G93&gt;0,B13/'[1]Data Sheet'!G93,0)</f>
        <v>7.3348269109495821</v>
      </c>
      <c r="C14" s="16">
        <f>IF('[1]Data Sheet'!H93&gt;0,C13/'[1]Data Sheet'!H93,0)</f>
        <v>11.608850054507615</v>
      </c>
      <c r="D14" s="16">
        <f>IF('[1]Data Sheet'!I93&gt;0,D13/'[1]Data Sheet'!I93,0)</f>
        <v>19.007779723167388</v>
      </c>
      <c r="E14" s="16">
        <f>IF('[1]Data Sheet'!J93&gt;0,E13/'[1]Data Sheet'!J93,0)</f>
        <v>23.345993537964461</v>
      </c>
      <c r="F14" s="16">
        <f>IF('[1]Data Sheet'!K93&gt;0,F13/'[1]Data Sheet'!K93,0)</f>
        <v>26.773872743072321</v>
      </c>
      <c r="G14" s="25">
        <f t="shared" si="0"/>
        <v>4.2740231435580327</v>
      </c>
      <c r="H14" s="17">
        <f>(G14/B14)*100</f>
        <v>58.270265889678761</v>
      </c>
      <c r="I14" s="17">
        <f t="shared" si="2"/>
        <v>2.7499203913750498E-4</v>
      </c>
      <c r="J14" s="17">
        <f t="shared" si="3"/>
        <v>3.6689785906084485E-4</v>
      </c>
      <c r="K14" s="3"/>
      <c r="L14" s="3"/>
      <c r="M14" s="3"/>
    </row>
    <row r="15" spans="1:13" x14ac:dyDescent="0.3">
      <c r="A15" s="15" t="s">
        <v>11</v>
      </c>
      <c r="B15" s="16">
        <f t="shared" ref="B15:F15" si="5">IF(B16&gt;0,B16/B14,"")</f>
        <v>70.211609115303347</v>
      </c>
      <c r="C15" s="16">
        <f t="shared" si="5"/>
        <v>62.538494044731031</v>
      </c>
      <c r="D15" s="16">
        <f t="shared" si="5"/>
        <v>29.550005743985107</v>
      </c>
      <c r="E15" s="16">
        <f t="shared" si="5"/>
        <v>31.034447037852296</v>
      </c>
      <c r="F15" s="16">
        <f t="shared" si="5"/>
        <v>33.411677443318894</v>
      </c>
      <c r="G15" s="26">
        <f t="shared" si="0"/>
        <v>-7.6731150705723152</v>
      </c>
      <c r="H15" s="17">
        <f t="shared" si="1"/>
        <v>-10.928556071078395</v>
      </c>
      <c r="I15" s="17">
        <f t="shared" si="2"/>
        <v>2.6323229976865387E-3</v>
      </c>
      <c r="J15" s="17">
        <f t="shared" si="3"/>
        <v>1.9765299289908373E-3</v>
      </c>
      <c r="K15" s="3"/>
      <c r="L15" s="3"/>
      <c r="M15" s="3"/>
    </row>
    <row r="16" spans="1:13" x14ac:dyDescent="0.3">
      <c r="A16" s="15" t="s">
        <v>30</v>
      </c>
      <c r="B16" s="16">
        <f>'[1]Data Sheet'!G90</f>
        <v>514.99</v>
      </c>
      <c r="C16" s="16">
        <f>'[1]Data Sheet'!H90</f>
        <v>726</v>
      </c>
      <c r="D16" s="16">
        <f>'[1]Data Sheet'!I90</f>
        <v>561.67999999999995</v>
      </c>
      <c r="E16" s="16">
        <f>'[1]Data Sheet'!J90</f>
        <v>724.53</v>
      </c>
      <c r="F16" s="16">
        <f>'[1]Data Sheet'!K90</f>
        <v>894.56</v>
      </c>
      <c r="G16" s="25">
        <f t="shared" si="0"/>
        <v>211.01</v>
      </c>
      <c r="H16" s="17">
        <f t="shared" si="1"/>
        <v>40.973611138080344</v>
      </c>
      <c r="I16" s="17">
        <f t="shared" si="2"/>
        <v>1.9307633561742702E-2</v>
      </c>
      <c r="J16" s="17">
        <f t="shared" si="3"/>
        <v>2.2945239573901214E-2</v>
      </c>
      <c r="K16" s="3"/>
      <c r="L16" s="3"/>
      <c r="M16" s="3"/>
    </row>
    <row r="18" spans="1:12" ht="18" x14ac:dyDescent="0.35">
      <c r="A18" s="29" t="s">
        <v>27</v>
      </c>
      <c r="B18" s="29"/>
      <c r="C18" s="29"/>
      <c r="D18" s="29"/>
      <c r="E18" s="29"/>
      <c r="F18" s="29"/>
      <c r="G18" s="29"/>
      <c r="H18" s="29"/>
      <c r="I18" s="29"/>
      <c r="J18" s="29"/>
      <c r="L18" s="1"/>
    </row>
    <row r="19" spans="1:12" x14ac:dyDescent="0.3">
      <c r="A19" s="15"/>
      <c r="B19" s="15"/>
      <c r="C19" s="15"/>
      <c r="D19" s="15"/>
      <c r="E19" s="15"/>
      <c r="F19" s="15"/>
      <c r="G19" s="27" t="s">
        <v>12</v>
      </c>
      <c r="H19" s="27"/>
      <c r="I19" s="28" t="s">
        <v>13</v>
      </c>
      <c r="J19" s="28"/>
    </row>
    <row r="20" spans="1:12" x14ac:dyDescent="0.3">
      <c r="A20" s="11" t="s">
        <v>0</v>
      </c>
      <c r="B20" s="19">
        <v>44286</v>
      </c>
      <c r="C20" s="19">
        <v>44651</v>
      </c>
      <c r="D20" s="19">
        <v>45016</v>
      </c>
      <c r="E20" s="19">
        <v>45382</v>
      </c>
      <c r="F20" s="19">
        <v>45747</v>
      </c>
      <c r="G20" s="9" t="s">
        <v>14</v>
      </c>
      <c r="H20" s="9" t="s">
        <v>15</v>
      </c>
      <c r="I20" s="10" t="s">
        <v>16</v>
      </c>
      <c r="J20" s="10" t="s">
        <v>17</v>
      </c>
    </row>
    <row r="21" spans="1:12" x14ac:dyDescent="0.3">
      <c r="A21" s="15" t="s">
        <v>19</v>
      </c>
      <c r="B21" s="21">
        <v>120.32</v>
      </c>
      <c r="C21" s="21">
        <v>120.66</v>
      </c>
      <c r="D21" s="21">
        <v>120.89</v>
      </c>
      <c r="E21" s="21">
        <v>123.6</v>
      </c>
      <c r="F21" s="21">
        <v>124.17</v>
      </c>
      <c r="G21" s="26">
        <f>C21-B21</f>
        <v>0.34000000000000341</v>
      </c>
      <c r="H21" s="17">
        <f>(G21/B21)*100</f>
        <v>0.28257978723404537</v>
      </c>
      <c r="I21" s="17">
        <f t="shared" ref="I21:I30" si="6">B21/$B$21</f>
        <v>1</v>
      </c>
      <c r="J21" s="17">
        <f t="shared" ref="J21:J30" si="7">(C21/$C$21)</f>
        <v>1</v>
      </c>
      <c r="K21" s="3"/>
      <c r="L21" s="3"/>
    </row>
    <row r="22" spans="1:12" x14ac:dyDescent="0.3">
      <c r="A22" s="15" t="s">
        <v>20</v>
      </c>
      <c r="B22" s="21">
        <v>36798.089999999997</v>
      </c>
      <c r="C22" s="21">
        <v>43592.03</v>
      </c>
      <c r="D22" s="21">
        <v>54251.09</v>
      </c>
      <c r="E22" s="21">
        <v>76571.75</v>
      </c>
      <c r="F22" s="21">
        <v>96568.7</v>
      </c>
      <c r="G22" s="26">
        <f t="shared" ref="G22:G30" si="8">C22-B22</f>
        <v>6793.9400000000023</v>
      </c>
      <c r="H22" s="17">
        <f t="shared" ref="H22:H30" si="9">(G22/B22)*100</f>
        <v>18.46275173521235</v>
      </c>
      <c r="I22" s="17">
        <f t="shared" si="6"/>
        <v>305.83518949468083</v>
      </c>
      <c r="J22" s="17">
        <f t="shared" si="7"/>
        <v>361.27987734128959</v>
      </c>
      <c r="K22" s="3"/>
      <c r="L22" s="3"/>
    </row>
    <row r="23" spans="1:12" x14ac:dyDescent="0.3">
      <c r="A23" s="15" t="s">
        <v>21</v>
      </c>
      <c r="B23" s="21">
        <v>131633.54</v>
      </c>
      <c r="C23" s="21">
        <v>165231.53</v>
      </c>
      <c r="D23" s="21">
        <v>216690.49</v>
      </c>
      <c r="E23" s="21">
        <v>293345.83</v>
      </c>
      <c r="F23" s="21">
        <v>361248.65</v>
      </c>
      <c r="G23" s="26">
        <f t="shared" si="8"/>
        <v>33597.989999999991</v>
      </c>
      <c r="H23" s="17">
        <f t="shared" si="9"/>
        <v>25.523882439080488</v>
      </c>
      <c r="I23" s="17">
        <f t="shared" si="6"/>
        <v>1094.0287566489362</v>
      </c>
      <c r="J23" s="17">
        <f t="shared" si="7"/>
        <v>1369.3977291563069</v>
      </c>
      <c r="K23" s="3"/>
      <c r="L23" s="3"/>
    </row>
    <row r="24" spans="1:12" x14ac:dyDescent="0.3">
      <c r="A24" s="15" t="s">
        <v>22</v>
      </c>
      <c r="B24" s="21">
        <v>2918.45</v>
      </c>
      <c r="C24" s="21">
        <v>3561.64</v>
      </c>
      <c r="D24" s="21">
        <v>4163.84</v>
      </c>
      <c r="E24" s="21">
        <v>5700.44</v>
      </c>
      <c r="F24" s="21">
        <v>8185.31</v>
      </c>
      <c r="G24" s="26">
        <f t="shared" si="8"/>
        <v>643.19000000000005</v>
      </c>
      <c r="H24" s="17">
        <f t="shared" si="9"/>
        <v>22.038753447891864</v>
      </c>
      <c r="I24" s="17">
        <f t="shared" si="6"/>
        <v>24.255734707446809</v>
      </c>
      <c r="J24" s="17">
        <f t="shared" si="7"/>
        <v>29.517984419028675</v>
      </c>
      <c r="K24" s="3"/>
      <c r="L24" s="3"/>
    </row>
    <row r="25" spans="1:12" x14ac:dyDescent="0.3">
      <c r="A25" s="15" t="s">
        <v>18</v>
      </c>
      <c r="B25" s="22">
        <v>171470.4</v>
      </c>
      <c r="C25" s="22">
        <v>212505.86</v>
      </c>
      <c r="D25" s="22">
        <v>275226.31</v>
      </c>
      <c r="E25" s="22">
        <v>375741.62</v>
      </c>
      <c r="F25" s="22">
        <v>466126.83</v>
      </c>
      <c r="G25" s="26">
        <f t="shared" si="8"/>
        <v>41035.459999999992</v>
      </c>
      <c r="H25" s="17">
        <f t="shared" si="9"/>
        <v>23.931512377646516</v>
      </c>
      <c r="I25" s="17">
        <f t="shared" si="6"/>
        <v>1425.1196808510638</v>
      </c>
      <c r="J25" s="17">
        <f t="shared" si="7"/>
        <v>1761.1955909166252</v>
      </c>
      <c r="K25" s="3"/>
      <c r="L25" s="3"/>
    </row>
    <row r="26" spans="1:12" x14ac:dyDescent="0.3">
      <c r="A26" s="15" t="s">
        <v>23</v>
      </c>
      <c r="B26" s="21">
        <v>1315.7</v>
      </c>
      <c r="C26" s="21">
        <v>1716.3</v>
      </c>
      <c r="D26" s="21">
        <v>2307.62</v>
      </c>
      <c r="E26" s="21">
        <v>3249.9</v>
      </c>
      <c r="F26" s="21">
        <v>3780.17</v>
      </c>
      <c r="G26" s="26">
        <f t="shared" si="8"/>
        <v>400.59999999999991</v>
      </c>
      <c r="H26" s="17">
        <f t="shared" si="9"/>
        <v>30.44767044159002</v>
      </c>
      <c r="I26" s="17">
        <f t="shared" si="6"/>
        <v>10.935006648936172</v>
      </c>
      <c r="J26" s="17">
        <f t="shared" si="7"/>
        <v>14.224266534062656</v>
      </c>
      <c r="K26" s="3"/>
      <c r="L26" s="3"/>
    </row>
    <row r="27" spans="1:12" x14ac:dyDescent="0.3">
      <c r="A27" s="15" t="s">
        <v>24</v>
      </c>
      <c r="B27" s="21">
        <v>51.06</v>
      </c>
      <c r="C27" s="21">
        <v>34.14</v>
      </c>
      <c r="D27" s="21">
        <v>79.84</v>
      </c>
      <c r="E27" s="21">
        <v>43.46</v>
      </c>
      <c r="F27" s="21">
        <v>41.29</v>
      </c>
      <c r="G27" s="26">
        <f t="shared" si="8"/>
        <v>-16.920000000000002</v>
      </c>
      <c r="H27" s="17">
        <f t="shared" si="9"/>
        <v>-33.137485311398358</v>
      </c>
      <c r="I27" s="17">
        <f t="shared" si="6"/>
        <v>0.42436835106382981</v>
      </c>
      <c r="J27" s="17">
        <f t="shared" si="7"/>
        <v>0.28294380905022376</v>
      </c>
      <c r="K27" s="3"/>
      <c r="L27" s="3"/>
    </row>
    <row r="28" spans="1:12" x14ac:dyDescent="0.3">
      <c r="A28" s="15" t="s">
        <v>25</v>
      </c>
      <c r="B28" s="21">
        <v>18396.91</v>
      </c>
      <c r="C28" s="21">
        <v>12245.54</v>
      </c>
      <c r="D28" s="21">
        <v>22751.84</v>
      </c>
      <c r="E28" s="21">
        <v>30880.65</v>
      </c>
      <c r="F28" s="21">
        <v>34440.839999999997</v>
      </c>
      <c r="G28" s="26">
        <f t="shared" si="8"/>
        <v>-6151.369999999999</v>
      </c>
      <c r="H28" s="17">
        <f t="shared" si="9"/>
        <v>-33.43697392659962</v>
      </c>
      <c r="I28" s="17">
        <f t="shared" si="6"/>
        <v>152.89985039893617</v>
      </c>
      <c r="J28" s="17">
        <f t="shared" si="7"/>
        <v>101.48798276147855</v>
      </c>
      <c r="K28" s="3"/>
      <c r="L28" s="3"/>
    </row>
    <row r="29" spans="1:12" x14ac:dyDescent="0.3">
      <c r="A29" s="15" t="s">
        <v>26</v>
      </c>
      <c r="B29" s="21">
        <v>151706.73000000001</v>
      </c>
      <c r="C29" s="21">
        <v>198509.88</v>
      </c>
      <c r="D29" s="21">
        <v>250087.01</v>
      </c>
      <c r="E29" s="21">
        <v>341567.61</v>
      </c>
      <c r="F29" s="21">
        <v>427864.53</v>
      </c>
      <c r="G29" s="26">
        <f t="shared" si="8"/>
        <v>46803.149999999994</v>
      </c>
      <c r="H29" s="17">
        <f t="shared" si="9"/>
        <v>30.851070351328509</v>
      </c>
      <c r="I29" s="17">
        <f t="shared" si="6"/>
        <v>1260.8604554521278</v>
      </c>
      <c r="J29" s="17">
        <f t="shared" si="7"/>
        <v>1645.200397812034</v>
      </c>
      <c r="K29" s="3"/>
      <c r="L29" s="3"/>
    </row>
    <row r="30" spans="1:12" x14ac:dyDescent="0.3">
      <c r="A30" s="15" t="s">
        <v>18</v>
      </c>
      <c r="B30" s="21">
        <v>171470.4</v>
      </c>
      <c r="C30" s="21">
        <v>212505.86</v>
      </c>
      <c r="D30" s="21">
        <v>275226.31</v>
      </c>
      <c r="E30" s="21">
        <v>375741.62</v>
      </c>
      <c r="F30" s="21">
        <v>466126.83</v>
      </c>
      <c r="G30" s="26">
        <f t="shared" si="8"/>
        <v>41035.459999999992</v>
      </c>
      <c r="H30" s="17">
        <f t="shared" si="9"/>
        <v>23.931512377646516</v>
      </c>
      <c r="I30" s="17">
        <f t="shared" si="6"/>
        <v>1425.1196808510638</v>
      </c>
      <c r="J30" s="17">
        <f t="shared" si="7"/>
        <v>1761.1955909166252</v>
      </c>
      <c r="K30" s="3"/>
      <c r="L30" s="3"/>
    </row>
    <row r="31" spans="1:12" x14ac:dyDescent="0.3">
      <c r="A31" s="2"/>
      <c r="B31" s="6"/>
      <c r="C31" s="6"/>
      <c r="D31" s="6"/>
      <c r="E31" s="6"/>
      <c r="F31" s="6"/>
      <c r="G31" s="2"/>
      <c r="H31" s="3"/>
      <c r="I31" s="3"/>
      <c r="J31" s="3"/>
      <c r="K31" s="3"/>
      <c r="L31" s="3"/>
    </row>
    <row r="32" spans="1:12" x14ac:dyDescent="0.3">
      <c r="B32" s="6"/>
      <c r="C32" s="6"/>
      <c r="D32" s="6"/>
      <c r="E32" s="6"/>
      <c r="F32" s="6"/>
      <c r="K32" s="3"/>
      <c r="L32" s="3"/>
    </row>
    <row r="33" spans="2:6" x14ac:dyDescent="0.3">
      <c r="B33" s="6"/>
      <c r="C33" s="6"/>
      <c r="D33" s="6"/>
      <c r="E33" s="6"/>
      <c r="F33" s="6"/>
    </row>
  </sheetData>
  <mergeCells count="7">
    <mergeCell ref="G19:H19"/>
    <mergeCell ref="I19:J19"/>
    <mergeCell ref="A18:J18"/>
    <mergeCell ref="A1:J1"/>
    <mergeCell ref="A2:J2"/>
    <mergeCell ref="G3:H3"/>
    <mergeCell ref="I3:J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workbookViewId="0">
      <selection activeCell="D34" sqref="D34"/>
    </sheetView>
  </sheetViews>
  <sheetFormatPr defaultRowHeight="13.8" x14ac:dyDescent="0.25"/>
  <cols>
    <col min="1" max="1" width="21" style="1" bestFit="1" customWidth="1"/>
    <col min="2" max="6" width="11.21875" style="1" bestFit="1" customWidth="1"/>
    <col min="7" max="7" width="13.88671875" style="1" customWidth="1"/>
    <col min="8" max="8" width="21" style="1" bestFit="1" customWidth="1"/>
    <col min="9" max="13" width="8.6640625" style="1" bestFit="1" customWidth="1"/>
    <col min="14" max="16384" width="8.88671875" style="1"/>
  </cols>
  <sheetData>
    <row r="1" spans="1:13" ht="18" x14ac:dyDescent="0.35">
      <c r="A1" s="34" t="s">
        <v>28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18" x14ac:dyDescent="0.35">
      <c r="A2" s="35" t="s">
        <v>31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ht="18" x14ac:dyDescent="0.35">
      <c r="A3" s="36" t="s">
        <v>29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 x14ac:dyDescent="0.25">
      <c r="A4" s="11" t="s">
        <v>0</v>
      </c>
      <c r="B4" s="12">
        <v>44286</v>
      </c>
      <c r="C4" s="12">
        <v>44651</v>
      </c>
      <c r="D4" s="12">
        <v>45016</v>
      </c>
      <c r="E4" s="12">
        <v>45382</v>
      </c>
      <c r="F4" s="12">
        <v>45747</v>
      </c>
      <c r="G4" s="13"/>
      <c r="H4" s="14" t="s">
        <v>0</v>
      </c>
      <c r="I4" s="4">
        <v>44256</v>
      </c>
      <c r="J4" s="4">
        <v>44621</v>
      </c>
      <c r="K4" s="4">
        <v>44986</v>
      </c>
      <c r="L4" s="4">
        <v>45352</v>
      </c>
      <c r="M4" s="4">
        <v>45717</v>
      </c>
    </row>
    <row r="5" spans="1:13" x14ac:dyDescent="0.25">
      <c r="A5" s="15" t="s">
        <v>1</v>
      </c>
      <c r="B5" s="16">
        <v>26672.87</v>
      </c>
      <c r="C5" s="16">
        <v>31640.55</v>
      </c>
      <c r="D5" s="16">
        <v>41411.21</v>
      </c>
      <c r="E5" s="16">
        <v>54973.9</v>
      </c>
      <c r="F5" s="16">
        <v>69709.440000000002</v>
      </c>
      <c r="G5" s="16"/>
      <c r="H5" s="15" t="s">
        <v>1</v>
      </c>
      <c r="I5" s="17">
        <f t="shared" ref="I5:I16" si="0">(B5/$B$5)</f>
        <v>1</v>
      </c>
      <c r="J5" s="17">
        <f>(C5/$C$5)</f>
        <v>1</v>
      </c>
      <c r="K5" s="17">
        <f>(D5/$D$5)</f>
        <v>1</v>
      </c>
      <c r="L5" s="17">
        <f>(E5/$E$5)</f>
        <v>1</v>
      </c>
      <c r="M5" s="17">
        <f>(F5/$F$5)</f>
        <v>1</v>
      </c>
    </row>
    <row r="6" spans="1:13" x14ac:dyDescent="0.25">
      <c r="A6" s="15" t="s">
        <v>2</v>
      </c>
      <c r="B6" s="16">
        <v>10839.32</v>
      </c>
      <c r="C6" s="16">
        <v>11880.24</v>
      </c>
      <c r="D6" s="16">
        <v>12692.75</v>
      </c>
      <c r="E6" s="16">
        <v>16098.7</v>
      </c>
      <c r="F6" s="16">
        <v>21754.29</v>
      </c>
      <c r="G6" s="16"/>
      <c r="H6" s="15" t="s">
        <v>2</v>
      </c>
      <c r="I6" s="17">
        <f t="shared" si="0"/>
        <v>0.40637996586044173</v>
      </c>
      <c r="J6" s="17">
        <f t="shared" ref="J6:J16" si="1">(C6/$C$5)</f>
        <v>0.37547514186700293</v>
      </c>
      <c r="K6" s="17">
        <f t="shared" ref="K6:K16" si="2">(D6/$D$5)</f>
        <v>0.30650517094284374</v>
      </c>
      <c r="L6" s="17">
        <f t="shared" ref="L6:L16" si="3">(E6/$E$5)</f>
        <v>0.29284260349001984</v>
      </c>
      <c r="M6" s="17">
        <f t="shared" ref="M6:M16" si="4">(F6/$F$5)</f>
        <v>0.31207093329110092</v>
      </c>
    </row>
    <row r="7" spans="1:13" x14ac:dyDescent="0.25">
      <c r="A7" s="15" t="s">
        <v>3</v>
      </c>
      <c r="B7" s="16">
        <v>15833.55</v>
      </c>
      <c r="C7" s="16">
        <v>19760.309999999998</v>
      </c>
      <c r="D7" s="16">
        <v>28718.46</v>
      </c>
      <c r="E7" s="16">
        <v>38875.199999999997</v>
      </c>
      <c r="F7" s="16">
        <v>47955.15</v>
      </c>
      <c r="G7" s="16"/>
      <c r="H7" s="15" t="s">
        <v>3</v>
      </c>
      <c r="I7" s="17">
        <f t="shared" si="0"/>
        <v>0.59362003413955833</v>
      </c>
      <c r="J7" s="17">
        <f t="shared" si="1"/>
        <v>0.62452485813299696</v>
      </c>
      <c r="K7" s="17">
        <f t="shared" si="2"/>
        <v>0.6934948290571562</v>
      </c>
      <c r="L7" s="17">
        <f t="shared" si="3"/>
        <v>0.70715739650998011</v>
      </c>
      <c r="M7" s="17">
        <f t="shared" si="4"/>
        <v>0.68792906670889908</v>
      </c>
    </row>
    <row r="8" spans="1:13" x14ac:dyDescent="0.25">
      <c r="A8" s="15" t="s">
        <v>4</v>
      </c>
      <c r="B8" s="18">
        <v>3.33</v>
      </c>
      <c r="C8" s="18">
        <v>-17.34</v>
      </c>
      <c r="D8" s="18">
        <v>-4.6100000000000003</v>
      </c>
      <c r="E8" s="18">
        <v>3.71</v>
      </c>
      <c r="F8" s="18">
        <v>-2.35</v>
      </c>
      <c r="G8" s="18"/>
      <c r="H8" s="15" t="s">
        <v>4</v>
      </c>
      <c r="I8" s="17">
        <f t="shared" si="0"/>
        <v>1.2484595770908793E-4</v>
      </c>
      <c r="J8" s="17">
        <f t="shared" si="1"/>
        <v>-5.4803092866590494E-4</v>
      </c>
      <c r="K8" s="17">
        <f t="shared" si="2"/>
        <v>-1.1132251387969586E-4</v>
      </c>
      <c r="L8" s="17">
        <f t="shared" si="3"/>
        <v>6.7486570900008905E-5</v>
      </c>
      <c r="M8" s="17">
        <f t="shared" si="4"/>
        <v>-3.3711359609258085E-5</v>
      </c>
    </row>
    <row r="9" spans="1:13" x14ac:dyDescent="0.25">
      <c r="A9" s="15" t="s">
        <v>5</v>
      </c>
      <c r="B9" s="16">
        <v>325.27</v>
      </c>
      <c r="C9" s="16">
        <v>384.57</v>
      </c>
      <c r="D9" s="16">
        <v>485.38</v>
      </c>
      <c r="E9" s="16">
        <v>683.32</v>
      </c>
      <c r="F9" s="16">
        <v>880.99</v>
      </c>
      <c r="G9" s="16"/>
      <c r="H9" s="15" t="s">
        <v>5</v>
      </c>
      <c r="I9" s="17">
        <f t="shared" si="0"/>
        <v>1.2194788187397906E-2</v>
      </c>
      <c r="J9" s="17">
        <f t="shared" si="1"/>
        <v>1.2154339921398333E-2</v>
      </c>
      <c r="K9" s="17">
        <f t="shared" si="2"/>
        <v>1.1720980864843118E-2</v>
      </c>
      <c r="L9" s="17">
        <f t="shared" si="3"/>
        <v>1.2429898551858247E-2</v>
      </c>
      <c r="M9" s="17">
        <f t="shared" si="4"/>
        <v>1.2638030086025652E-2</v>
      </c>
    </row>
    <row r="10" spans="1:13" x14ac:dyDescent="0.25">
      <c r="A10" s="15" t="s">
        <v>6</v>
      </c>
      <c r="B10" s="16">
        <v>9519.35</v>
      </c>
      <c r="C10" s="16">
        <v>9854.6200000000008</v>
      </c>
      <c r="D10" s="16">
        <v>12700.61</v>
      </c>
      <c r="E10" s="16">
        <v>18886.02</v>
      </c>
      <c r="F10" s="16">
        <v>24992.18</v>
      </c>
      <c r="G10" s="16"/>
      <c r="H10" s="15" t="s">
        <v>6</v>
      </c>
      <c r="I10" s="17">
        <f t="shared" si="0"/>
        <v>0.35689260285826013</v>
      </c>
      <c r="J10" s="17">
        <f t="shared" si="1"/>
        <v>0.31145539505476361</v>
      </c>
      <c r="K10" s="17">
        <f t="shared" si="2"/>
        <v>0.30669497462160611</v>
      </c>
      <c r="L10" s="17">
        <f t="shared" si="3"/>
        <v>0.34354520963584539</v>
      </c>
      <c r="M10" s="17">
        <f t="shared" si="4"/>
        <v>0.35851930527630116</v>
      </c>
    </row>
    <row r="11" spans="1:13" x14ac:dyDescent="0.25">
      <c r="A11" s="15" t="s">
        <v>7</v>
      </c>
      <c r="B11" s="16">
        <v>5992.26</v>
      </c>
      <c r="C11" s="16">
        <v>9503.7800000000007</v>
      </c>
      <c r="D11" s="16">
        <v>15527.86</v>
      </c>
      <c r="E11" s="16">
        <v>19309.57</v>
      </c>
      <c r="F11" s="16">
        <v>22079.63</v>
      </c>
      <c r="G11" s="16"/>
      <c r="H11" s="15" t="s">
        <v>7</v>
      </c>
      <c r="I11" s="17">
        <f t="shared" si="0"/>
        <v>0.2246574890516094</v>
      </c>
      <c r="J11" s="17">
        <f t="shared" si="1"/>
        <v>0.30036709222816926</v>
      </c>
      <c r="K11" s="17">
        <f t="shared" si="2"/>
        <v>0.37496755105682739</v>
      </c>
      <c r="L11" s="17">
        <f t="shared" si="3"/>
        <v>0.35124977489317655</v>
      </c>
      <c r="M11" s="17">
        <f t="shared" si="4"/>
        <v>0.31673801998696305</v>
      </c>
    </row>
    <row r="12" spans="1:13" x14ac:dyDescent="0.25">
      <c r="A12" s="15" t="s">
        <v>8</v>
      </c>
      <c r="B12" s="16">
        <v>1572.44</v>
      </c>
      <c r="C12" s="16">
        <v>2475.5500000000002</v>
      </c>
      <c r="D12" s="16">
        <v>4020.17</v>
      </c>
      <c r="E12" s="16">
        <v>4858.3999999999996</v>
      </c>
      <c r="F12" s="16">
        <v>5300.15</v>
      </c>
      <c r="G12" s="16"/>
      <c r="H12" s="15" t="s">
        <v>8</v>
      </c>
      <c r="I12" s="17">
        <f t="shared" si="0"/>
        <v>5.8952786108131601E-2</v>
      </c>
      <c r="J12" s="17">
        <f t="shared" si="1"/>
        <v>7.8239790395552553E-2</v>
      </c>
      <c r="K12" s="17">
        <f t="shared" si="2"/>
        <v>9.7079269115778077E-2</v>
      </c>
      <c r="L12" s="17">
        <f t="shared" si="3"/>
        <v>8.8376484113370152E-2</v>
      </c>
      <c r="M12" s="17">
        <f t="shared" si="4"/>
        <v>7.6032026652344348E-2</v>
      </c>
    </row>
    <row r="13" spans="1:13" x14ac:dyDescent="0.25">
      <c r="A13" s="15" t="s">
        <v>9</v>
      </c>
      <c r="B13" s="16">
        <v>4419.82</v>
      </c>
      <c r="C13" s="16">
        <v>7028.23</v>
      </c>
      <c r="D13" s="16">
        <v>11507.69</v>
      </c>
      <c r="E13" s="16">
        <v>14451.17</v>
      </c>
      <c r="F13" s="16">
        <v>16637.82</v>
      </c>
      <c r="G13" s="16"/>
      <c r="H13" s="15" t="s">
        <v>9</v>
      </c>
      <c r="I13" s="17">
        <f t="shared" si="0"/>
        <v>0.16570470294347778</v>
      </c>
      <c r="J13" s="17">
        <f t="shared" si="1"/>
        <v>0.22212730183261667</v>
      </c>
      <c r="K13" s="17">
        <f t="shared" si="2"/>
        <v>0.27788828194104931</v>
      </c>
      <c r="L13" s="17">
        <f t="shared" si="3"/>
        <v>0.26287329077980642</v>
      </c>
      <c r="M13" s="17">
        <f t="shared" si="4"/>
        <v>0.23867384388685375</v>
      </c>
    </row>
    <row r="14" spans="1:13" x14ac:dyDescent="0.25">
      <c r="A14" s="15" t="s">
        <v>10</v>
      </c>
      <c r="B14" s="16">
        <v>7.3348269109495821</v>
      </c>
      <c r="C14" s="16">
        <v>11.608850054507615</v>
      </c>
      <c r="D14" s="16">
        <v>19.007779723167388</v>
      </c>
      <c r="E14" s="16">
        <v>23.345993537964461</v>
      </c>
      <c r="F14" s="16">
        <v>26.773872743072321</v>
      </c>
      <c r="G14" s="16"/>
      <c r="H14" s="15" t="s">
        <v>10</v>
      </c>
      <c r="I14" s="17">
        <f t="shared" si="0"/>
        <v>2.7499203913750498E-4</v>
      </c>
      <c r="J14" s="17">
        <f t="shared" si="1"/>
        <v>3.6689785906084485E-4</v>
      </c>
      <c r="K14" s="17">
        <f t="shared" si="2"/>
        <v>4.5900082907906792E-4</v>
      </c>
      <c r="L14" s="17">
        <f t="shared" si="3"/>
        <v>4.2467413696253056E-4</v>
      </c>
      <c r="M14" s="17">
        <f t="shared" si="4"/>
        <v>3.84078149861372E-4</v>
      </c>
    </row>
    <row r="15" spans="1:13" x14ac:dyDescent="0.25">
      <c r="A15" s="15" t="s">
        <v>11</v>
      </c>
      <c r="B15" s="16">
        <v>70.211609115303347</v>
      </c>
      <c r="C15" s="16">
        <v>62.538494044731031</v>
      </c>
      <c r="D15" s="16">
        <v>29.550005743985107</v>
      </c>
      <c r="E15" s="16">
        <v>31.034447037852296</v>
      </c>
      <c r="F15" s="16">
        <v>33.411677443318894</v>
      </c>
      <c r="G15" s="16"/>
      <c r="H15" s="15" t="s">
        <v>11</v>
      </c>
      <c r="I15" s="17">
        <f t="shared" si="0"/>
        <v>2.6323229976865387E-3</v>
      </c>
      <c r="J15" s="17">
        <f t="shared" si="1"/>
        <v>1.9765299289908373E-3</v>
      </c>
      <c r="K15" s="17">
        <f t="shared" si="2"/>
        <v>7.1357503786982092E-4</v>
      </c>
      <c r="L15" s="17">
        <f t="shared" si="3"/>
        <v>5.6453056883088695E-4</v>
      </c>
      <c r="M15" s="17">
        <f t="shared" si="4"/>
        <v>4.7929918018734468E-4</v>
      </c>
    </row>
    <row r="16" spans="1:13" x14ac:dyDescent="0.25">
      <c r="A16" s="15" t="s">
        <v>18</v>
      </c>
      <c r="B16" s="16">
        <v>514.99</v>
      </c>
      <c r="C16" s="16">
        <v>726</v>
      </c>
      <c r="D16" s="16">
        <v>561.67999999999995</v>
      </c>
      <c r="E16" s="16">
        <v>724.53</v>
      </c>
      <c r="F16" s="16">
        <v>894.56</v>
      </c>
      <c r="G16" s="16"/>
      <c r="H16" s="15" t="s">
        <v>18</v>
      </c>
      <c r="I16" s="17">
        <f t="shared" si="0"/>
        <v>1.9307633561742702E-2</v>
      </c>
      <c r="J16" s="17">
        <f t="shared" si="1"/>
        <v>2.2945239573901214E-2</v>
      </c>
      <c r="K16" s="17">
        <f t="shared" si="2"/>
        <v>1.3563477135780383E-2</v>
      </c>
      <c r="L16" s="17">
        <f t="shared" si="3"/>
        <v>1.3179527011909288E-2</v>
      </c>
      <c r="M16" s="17">
        <f t="shared" si="4"/>
        <v>1.2832695256194855E-2</v>
      </c>
    </row>
    <row r="18" spans="1:13" x14ac:dyDescent="0.25">
      <c r="A18" s="11" t="s">
        <v>0</v>
      </c>
      <c r="B18" s="19">
        <v>44286</v>
      </c>
      <c r="C18" s="19">
        <v>44651</v>
      </c>
      <c r="D18" s="19">
        <v>45016</v>
      </c>
      <c r="E18" s="19">
        <v>45382</v>
      </c>
      <c r="F18" s="19">
        <v>45747</v>
      </c>
      <c r="G18" s="20"/>
      <c r="H18" s="14" t="s">
        <v>0</v>
      </c>
      <c r="I18" s="4">
        <v>44256</v>
      </c>
      <c r="J18" s="4">
        <v>44621</v>
      </c>
      <c r="K18" s="4">
        <v>44986</v>
      </c>
      <c r="L18" s="4">
        <v>45352</v>
      </c>
      <c r="M18" s="4">
        <v>45717</v>
      </c>
    </row>
    <row r="19" spans="1:13" x14ac:dyDescent="0.25">
      <c r="A19" s="15" t="s">
        <v>19</v>
      </c>
      <c r="B19" s="21">
        <v>120.32</v>
      </c>
      <c r="C19" s="21">
        <v>120.66</v>
      </c>
      <c r="D19" s="21">
        <v>120.89</v>
      </c>
      <c r="E19" s="21">
        <v>123.6</v>
      </c>
      <c r="F19" s="21">
        <v>124.17</v>
      </c>
      <c r="G19" s="15"/>
      <c r="H19" s="15" t="s">
        <v>19</v>
      </c>
      <c r="I19" s="17">
        <f>(B19/$B$19)</f>
        <v>1</v>
      </c>
      <c r="J19" s="17">
        <f>(C19/$C$19)</f>
        <v>1</v>
      </c>
      <c r="K19" s="17">
        <f>(D19/$D$19)</f>
        <v>1</v>
      </c>
      <c r="L19" s="17">
        <f>(E19/$E$19)</f>
        <v>1</v>
      </c>
      <c r="M19" s="17">
        <f t="shared" ref="M19:M28" si="5">(F19/$F$19)</f>
        <v>1</v>
      </c>
    </row>
    <row r="20" spans="1:13" x14ac:dyDescent="0.25">
      <c r="A20" s="15" t="s">
        <v>20</v>
      </c>
      <c r="B20" s="21">
        <v>36798.089999999997</v>
      </c>
      <c r="C20" s="21">
        <v>43592.03</v>
      </c>
      <c r="D20" s="21">
        <v>54251.09</v>
      </c>
      <c r="E20" s="21">
        <v>76571.75</v>
      </c>
      <c r="F20" s="21">
        <v>96568.7</v>
      </c>
      <c r="G20" s="15"/>
      <c r="H20" s="15" t="s">
        <v>20</v>
      </c>
      <c r="I20" s="17">
        <f t="shared" ref="I20:I28" si="6">(B20/$B$19)</f>
        <v>305.83518949468083</v>
      </c>
      <c r="J20" s="17">
        <f t="shared" ref="J20:J28" si="7">(C20/$C$19)</f>
        <v>361.27987734128959</v>
      </c>
      <c r="K20" s="17">
        <f t="shared" ref="K20:K28" si="8">(D20/$D$19)</f>
        <v>448.7640830507072</v>
      </c>
      <c r="L20" s="17">
        <f t="shared" ref="L20:L28" si="9">(E20/$E$19)</f>
        <v>619.51254045307451</v>
      </c>
      <c r="M20" s="17">
        <f t="shared" si="5"/>
        <v>777.71361842635099</v>
      </c>
    </row>
    <row r="21" spans="1:13" x14ac:dyDescent="0.25">
      <c r="A21" s="15" t="s">
        <v>21</v>
      </c>
      <c r="B21" s="21">
        <v>131633.54</v>
      </c>
      <c r="C21" s="21">
        <v>165231.53</v>
      </c>
      <c r="D21" s="21">
        <v>216690.49</v>
      </c>
      <c r="E21" s="21">
        <v>293345.83</v>
      </c>
      <c r="F21" s="21">
        <v>361248.65</v>
      </c>
      <c r="G21" s="15"/>
      <c r="H21" s="15" t="s">
        <v>21</v>
      </c>
      <c r="I21" s="17">
        <f t="shared" si="6"/>
        <v>1094.0287566489362</v>
      </c>
      <c r="J21" s="17">
        <f t="shared" si="7"/>
        <v>1369.3977291563069</v>
      </c>
      <c r="K21" s="17">
        <f t="shared" si="8"/>
        <v>1792.4600049631897</v>
      </c>
      <c r="L21" s="17">
        <f t="shared" si="9"/>
        <v>2373.3481391585765</v>
      </c>
      <c r="M21" s="17">
        <f t="shared" si="5"/>
        <v>2909.30699846984</v>
      </c>
    </row>
    <row r="22" spans="1:13" x14ac:dyDescent="0.25">
      <c r="A22" s="15" t="s">
        <v>22</v>
      </c>
      <c r="B22" s="21">
        <v>2918.45</v>
      </c>
      <c r="C22" s="21">
        <v>3561.64</v>
      </c>
      <c r="D22" s="21">
        <v>4163.84</v>
      </c>
      <c r="E22" s="21">
        <v>5700.44</v>
      </c>
      <c r="F22" s="21">
        <v>8185.31</v>
      </c>
      <c r="G22" s="15"/>
      <c r="H22" s="15" t="s">
        <v>22</v>
      </c>
      <c r="I22" s="17">
        <f t="shared" si="6"/>
        <v>24.255734707446809</v>
      </c>
      <c r="J22" s="17">
        <f t="shared" si="7"/>
        <v>29.517984419028675</v>
      </c>
      <c r="K22" s="17">
        <f t="shared" si="8"/>
        <v>34.443212838117297</v>
      </c>
      <c r="L22" s="17">
        <f t="shared" si="9"/>
        <v>46.120064724919089</v>
      </c>
      <c r="M22" s="17">
        <f t="shared" si="5"/>
        <v>65.920190062011756</v>
      </c>
    </row>
    <row r="23" spans="1:13" x14ac:dyDescent="0.25">
      <c r="A23" s="15" t="s">
        <v>18</v>
      </c>
      <c r="B23" s="22">
        <v>171470.4</v>
      </c>
      <c r="C23" s="22">
        <v>212505.86</v>
      </c>
      <c r="D23" s="22">
        <v>275226.31</v>
      </c>
      <c r="E23" s="22">
        <v>375741.62</v>
      </c>
      <c r="F23" s="22">
        <v>466126.83</v>
      </c>
      <c r="G23" s="15"/>
      <c r="H23" s="15" t="s">
        <v>18</v>
      </c>
      <c r="I23" s="17">
        <f t="shared" si="6"/>
        <v>1425.1196808510638</v>
      </c>
      <c r="J23" s="17">
        <f t="shared" si="7"/>
        <v>1761.1955909166252</v>
      </c>
      <c r="K23" s="17">
        <f t="shared" si="8"/>
        <v>2276.6673008520143</v>
      </c>
      <c r="L23" s="17">
        <f t="shared" si="9"/>
        <v>3039.9807443365698</v>
      </c>
      <c r="M23" s="17">
        <f t="shared" si="5"/>
        <v>3753.9408069582028</v>
      </c>
    </row>
    <row r="24" spans="1:13" x14ac:dyDescent="0.25">
      <c r="A24" s="15" t="s">
        <v>23</v>
      </c>
      <c r="B24" s="21">
        <v>1315.7</v>
      </c>
      <c r="C24" s="21">
        <v>1716.3</v>
      </c>
      <c r="D24" s="21">
        <v>2307.62</v>
      </c>
      <c r="E24" s="21">
        <v>3249.9</v>
      </c>
      <c r="F24" s="21">
        <v>3780.17</v>
      </c>
      <c r="G24" s="15"/>
      <c r="H24" s="15" t="s">
        <v>23</v>
      </c>
      <c r="I24" s="17">
        <f t="shared" si="6"/>
        <v>10.935006648936172</v>
      </c>
      <c r="J24" s="17">
        <f t="shared" si="7"/>
        <v>14.224266534062656</v>
      </c>
      <c r="K24" s="17">
        <f t="shared" si="8"/>
        <v>19.088592935726691</v>
      </c>
      <c r="L24" s="17">
        <f t="shared" si="9"/>
        <v>26.293689320388353</v>
      </c>
      <c r="M24" s="17">
        <f t="shared" si="5"/>
        <v>30.44350487235242</v>
      </c>
    </row>
    <row r="25" spans="1:13" x14ac:dyDescent="0.25">
      <c r="A25" s="15" t="s">
        <v>24</v>
      </c>
      <c r="B25" s="21">
        <v>51.06</v>
      </c>
      <c r="C25" s="21">
        <v>34.14</v>
      </c>
      <c r="D25" s="21">
        <v>79.84</v>
      </c>
      <c r="E25" s="21">
        <v>43.46</v>
      </c>
      <c r="F25" s="21">
        <v>41.29</v>
      </c>
      <c r="G25" s="15"/>
      <c r="H25" s="15" t="s">
        <v>24</v>
      </c>
      <c r="I25" s="17">
        <f t="shared" si="6"/>
        <v>0.42436835106382981</v>
      </c>
      <c r="J25" s="17">
        <f t="shared" si="7"/>
        <v>0.28294380905022376</v>
      </c>
      <c r="K25" s="17">
        <f t="shared" si="8"/>
        <v>0.66043510629497892</v>
      </c>
      <c r="L25" s="17">
        <f t="shared" si="9"/>
        <v>0.35161812297734629</v>
      </c>
      <c r="M25" s="17">
        <f t="shared" si="5"/>
        <v>0.33252798582588383</v>
      </c>
    </row>
    <row r="26" spans="1:13" x14ac:dyDescent="0.25">
      <c r="A26" s="15" t="s">
        <v>25</v>
      </c>
      <c r="B26" s="21">
        <v>18396.91</v>
      </c>
      <c r="C26" s="21">
        <v>12245.54</v>
      </c>
      <c r="D26" s="21">
        <v>22751.84</v>
      </c>
      <c r="E26" s="21">
        <v>30880.65</v>
      </c>
      <c r="F26" s="21">
        <v>34440.839999999997</v>
      </c>
      <c r="G26" s="15"/>
      <c r="H26" s="15" t="s">
        <v>25</v>
      </c>
      <c r="I26" s="17">
        <f t="shared" si="6"/>
        <v>152.89985039893617</v>
      </c>
      <c r="J26" s="17">
        <f t="shared" si="7"/>
        <v>101.48798276147855</v>
      </c>
      <c r="K26" s="17">
        <f t="shared" si="8"/>
        <v>188.20282901811564</v>
      </c>
      <c r="L26" s="17">
        <f t="shared" si="9"/>
        <v>249.84344660194176</v>
      </c>
      <c r="M26" s="17">
        <f t="shared" si="5"/>
        <v>277.36844648465808</v>
      </c>
    </row>
    <row r="27" spans="1:13" x14ac:dyDescent="0.25">
      <c r="A27" s="15" t="s">
        <v>26</v>
      </c>
      <c r="B27" s="21">
        <v>151706.73000000001</v>
      </c>
      <c r="C27" s="21">
        <v>198509.88</v>
      </c>
      <c r="D27" s="21">
        <v>250087.01</v>
      </c>
      <c r="E27" s="21">
        <v>341567.61</v>
      </c>
      <c r="F27" s="21">
        <v>427864.53</v>
      </c>
      <c r="G27" s="15"/>
      <c r="H27" s="15" t="s">
        <v>26</v>
      </c>
      <c r="I27" s="17">
        <f t="shared" si="6"/>
        <v>1260.8604554521278</v>
      </c>
      <c r="J27" s="17">
        <f t="shared" si="7"/>
        <v>1645.200397812034</v>
      </c>
      <c r="K27" s="17">
        <f t="shared" si="8"/>
        <v>2068.7154437918771</v>
      </c>
      <c r="L27" s="17">
        <f t="shared" si="9"/>
        <v>2763.491990291262</v>
      </c>
      <c r="M27" s="17">
        <f t="shared" si="5"/>
        <v>3445.7963276153664</v>
      </c>
    </row>
    <row r="28" spans="1:13" x14ac:dyDescent="0.25">
      <c r="A28" s="15" t="s">
        <v>18</v>
      </c>
      <c r="B28" s="21">
        <v>171470.4</v>
      </c>
      <c r="C28" s="21">
        <v>212505.86</v>
      </c>
      <c r="D28" s="21">
        <v>275226.31</v>
      </c>
      <c r="E28" s="21">
        <v>375741.62</v>
      </c>
      <c r="F28" s="21">
        <v>466126.83</v>
      </c>
      <c r="G28" s="15"/>
      <c r="H28" s="15" t="s">
        <v>18</v>
      </c>
      <c r="I28" s="17">
        <f t="shared" si="6"/>
        <v>1425.1196808510638</v>
      </c>
      <c r="J28" s="17">
        <f t="shared" si="7"/>
        <v>1761.1955909166252</v>
      </c>
      <c r="K28" s="17">
        <f t="shared" si="8"/>
        <v>2276.6673008520143</v>
      </c>
      <c r="L28" s="17">
        <f t="shared" si="9"/>
        <v>3039.9807443365698</v>
      </c>
      <c r="M28" s="17">
        <f t="shared" si="5"/>
        <v>3753.9408069582028</v>
      </c>
    </row>
  </sheetData>
  <mergeCells count="3">
    <mergeCell ref="A1:M1"/>
    <mergeCell ref="A2:M2"/>
    <mergeCell ref="A3:M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Bajaj Comparative &amp; Common Size</vt:lpstr>
      <vt:lpstr>Bajaj Trend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2025-10-10T07:52:40Z</dcterms:created>
  <dcterms:modified xsi:type="dcterms:W3CDTF">2025-10-10T10:26:13Z</dcterms:modified>
</cp:coreProperties>
</file>