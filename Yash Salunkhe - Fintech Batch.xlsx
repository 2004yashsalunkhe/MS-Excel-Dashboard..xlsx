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M ALL\"/>
    </mc:Choice>
  </mc:AlternateContent>
  <xr:revisionPtr revIDLastSave="0" documentId="8_{4808CFD9-1971-4660-A406-22A09B421DAC}" xr6:coauthVersionLast="47" xr6:coauthVersionMax="47" xr10:uidLastSave="{00000000-0000-0000-0000-000000000000}"/>
  <bookViews>
    <workbookView xWindow="-120" yWindow="-120" windowWidth="20730" windowHeight="11040" xr2:uid="{2C80D625-19FE-4FBE-B67C-0A92E7AA1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8" i="1"/>
  <c r="C52" i="1"/>
  <c r="C46" i="1"/>
  <c r="C45" i="1"/>
  <c r="C44" i="1"/>
  <c r="C40" i="1"/>
  <c r="C39" i="1"/>
  <c r="C38" i="1"/>
  <c r="C32" i="1"/>
  <c r="C34" i="1" s="1"/>
  <c r="C33" i="1"/>
  <c r="C28" i="1"/>
  <c r="C15" i="1"/>
</calcChain>
</file>

<file path=xl/sharedStrings.xml><?xml version="1.0" encoding="utf-8"?>
<sst xmlns="http://schemas.openxmlformats.org/spreadsheetml/2006/main" count="50" uniqueCount="28">
  <si>
    <t>Q1) Adams Company bought a piece of land in 1981 for $200,000. By 2005, its value had increased to $1 million. Find the annual rate of appreciation during this period.</t>
  </si>
  <si>
    <t>Q2) Your employer has promised to give you a $5,000 bonus after you have been working for him for 5 years. What is the present value of this bonus if the proper discount rate is 8%?</t>
  </si>
  <si>
    <t>PV</t>
  </si>
  <si>
    <t>Q3) The U.S. government fixed the price of gold at $35 an oz in 1934. In 2005, the price of the yellow metal was $480 an oz. Calculate the price appreciation of gold as percent per year, compounded annually.</t>
  </si>
  <si>
    <t xml:space="preserve">Rate </t>
  </si>
  <si>
    <t>Q5) Suppose you have decided to put $200 at the beginning of every month in a savings account that credits interest at the annual rate of 6%, but compounds it monthly. Find the amount in this account after 30 years.</t>
  </si>
  <si>
    <t>Q6) Antioch Company is adding $25,000 per month to a pension fund. The fund will earn interest at the rate of 6% per year, compounded monthly. Find the amount available in this fund after 20 years.</t>
  </si>
  <si>
    <t>Ans6)</t>
  </si>
  <si>
    <t>Annuity</t>
  </si>
  <si>
    <t>Nper</t>
  </si>
  <si>
    <t>FV</t>
  </si>
  <si>
    <t>Q7) You have decided to put $130 in a savings account at the end of each month. The savings account credits interest monthly, at the annual rate of 6%. How much money is in your account after 6 years?</t>
  </si>
  <si>
    <t>Ans 7)</t>
  </si>
  <si>
    <t>Rate</t>
  </si>
  <si>
    <t xml:space="preserve"> Q8)Suppose you want to accumulate $10,000 for a down payment for a house. You will deposit $400 at the beginning of every month in an account that credits interest monthly at the rate of 0.6% per month. How long will it take you to achieve your goal?</t>
  </si>
  <si>
    <t>Ans 8 )</t>
  </si>
  <si>
    <t xml:space="preserve">Annuity </t>
  </si>
  <si>
    <t xml:space="preserve">PV </t>
  </si>
  <si>
    <t xml:space="preserve">Nper </t>
  </si>
  <si>
    <t xml:space="preserve">FV </t>
  </si>
  <si>
    <t>NPER</t>
  </si>
  <si>
    <t>PMT</t>
  </si>
  <si>
    <t>Ans 1)</t>
  </si>
  <si>
    <t xml:space="preserve"> Ans2) </t>
  </si>
  <si>
    <t xml:space="preserve">Ans3) </t>
  </si>
  <si>
    <t>Q4) You expect to receive $10,000 as a bonus after 6 years. You have calculated the present value of this bonus and the Answer is $7000. What interest rate did you use in your calculation?</t>
  </si>
  <si>
    <t>Ans4)</t>
  </si>
  <si>
    <t>Ans5)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</si>
</sst>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left" vertical="center" indent="5"/>
    </xf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C9A2-4ABC-49CF-BD47-DB829D419D81}">
  <dimension ref="A2:C52"/>
  <sheetViews>
    <sheetView tabSelected="1" workbookViewId="0">
      <selection activeCell="B1" sqref="B1"/>
    </sheetView>
  </sheetViews>
  <sheetFormatPr defaultRowHeight="15" x14ac:dyDescent="0.25"/>
  <cols>
    <col min="2" max="2" width="25.85546875" bestFit="1" customWidth="1"/>
    <col min="3" max="3" width="17.7109375" bestFit="1" customWidth="1"/>
  </cols>
  <sheetData>
    <row r="2" spans="1:3" x14ac:dyDescent="0.25">
      <c r="A2" t="s">
        <v>0</v>
      </c>
    </row>
    <row r="3" spans="1:3" x14ac:dyDescent="0.25">
      <c r="A3" t="s">
        <v>22</v>
      </c>
      <c r="B3" t="s">
        <v>10</v>
      </c>
      <c r="C3" s="2">
        <v>1000000</v>
      </c>
    </row>
    <row r="4" spans="1:3" x14ac:dyDescent="0.25">
      <c r="B4" t="s">
        <v>21</v>
      </c>
      <c r="C4" s="2">
        <v>200000</v>
      </c>
    </row>
    <row r="5" spans="1:3" x14ac:dyDescent="0.25">
      <c r="B5" t="s">
        <v>13</v>
      </c>
    </row>
    <row r="6" spans="1:3" x14ac:dyDescent="0.25">
      <c r="B6" t="s">
        <v>9</v>
      </c>
      <c r="C6">
        <v>24</v>
      </c>
    </row>
    <row r="8" spans="1:3" x14ac:dyDescent="0.25">
      <c r="B8" t="s">
        <v>4</v>
      </c>
      <c r="C8" s="3">
        <f>RATE(C6,0,-C4,C3,0,)</f>
        <v>6.9359544813117804E-2</v>
      </c>
    </row>
    <row r="10" spans="1:3" ht="15.75" x14ac:dyDescent="0.25">
      <c r="A10" t="s">
        <v>1</v>
      </c>
      <c r="B10" s="4"/>
    </row>
    <row r="11" spans="1:3" x14ac:dyDescent="0.25">
      <c r="A11" t="s">
        <v>23</v>
      </c>
      <c r="B11" t="s">
        <v>19</v>
      </c>
      <c r="C11">
        <v>5000</v>
      </c>
    </row>
    <row r="12" spans="1:3" x14ac:dyDescent="0.25">
      <c r="B12" t="s">
        <v>20</v>
      </c>
      <c r="C12">
        <v>5</v>
      </c>
    </row>
    <row r="13" spans="1:3" x14ac:dyDescent="0.25">
      <c r="B13" t="s">
        <v>4</v>
      </c>
      <c r="C13" s="3">
        <v>0.08</v>
      </c>
    </row>
    <row r="15" spans="1:3" x14ac:dyDescent="0.25">
      <c r="B15" t="s">
        <v>2</v>
      </c>
      <c r="C15" s="5">
        <f xml:space="preserve"> PV(C13,C12,0,-C11,0)</f>
        <v>3402.915985168765</v>
      </c>
    </row>
    <row r="17" spans="1:3" x14ac:dyDescent="0.25">
      <c r="A17" t="s">
        <v>3</v>
      </c>
    </row>
    <row r="18" spans="1:3" x14ac:dyDescent="0.25">
      <c r="A18" t="s">
        <v>24</v>
      </c>
      <c r="B18" t="s">
        <v>10</v>
      </c>
      <c r="C18">
        <v>480</v>
      </c>
    </row>
    <row r="19" spans="1:3" x14ac:dyDescent="0.25">
      <c r="B19" t="s">
        <v>2</v>
      </c>
      <c r="C19">
        <v>35</v>
      </c>
    </row>
    <row r="20" spans="1:3" x14ac:dyDescent="0.25">
      <c r="B20" t="s">
        <v>9</v>
      </c>
      <c r="C20">
        <v>71</v>
      </c>
    </row>
    <row r="21" spans="1:3" x14ac:dyDescent="0.25">
      <c r="B21" t="s">
        <v>4</v>
      </c>
      <c r="C21" s="3">
        <f>RATE(C20,0,-C19,C18,0)</f>
        <v>3.7567891993812053E-2</v>
      </c>
    </row>
    <row r="23" spans="1:3" x14ac:dyDescent="0.25">
      <c r="A23" t="s">
        <v>25</v>
      </c>
    </row>
    <row r="24" spans="1:3" x14ac:dyDescent="0.25">
      <c r="A24" t="s">
        <v>26</v>
      </c>
      <c r="B24" t="s">
        <v>19</v>
      </c>
      <c r="C24" s="2">
        <v>10000</v>
      </c>
    </row>
    <row r="25" spans="1:3" x14ac:dyDescent="0.25">
      <c r="B25" t="s">
        <v>18</v>
      </c>
      <c r="C25" s="2">
        <v>6</v>
      </c>
    </row>
    <row r="26" spans="1:3" x14ac:dyDescent="0.25">
      <c r="B26" t="s">
        <v>17</v>
      </c>
      <c r="C26" s="2">
        <v>7000</v>
      </c>
    </row>
    <row r="27" spans="1:3" x14ac:dyDescent="0.25">
      <c r="B27" t="s">
        <v>4</v>
      </c>
      <c r="C27" s="2"/>
    </row>
    <row r="28" spans="1:3" x14ac:dyDescent="0.25">
      <c r="B28" t="s">
        <v>4</v>
      </c>
      <c r="C28" s="3">
        <f>RATE(C25,0,-C26,C24,0)</f>
        <v>6.1248265225260591E-2</v>
      </c>
    </row>
    <row r="30" spans="1:3" x14ac:dyDescent="0.25">
      <c r="A30" t="s">
        <v>5</v>
      </c>
    </row>
    <row r="31" spans="1:3" x14ac:dyDescent="0.25">
      <c r="A31" t="s">
        <v>27</v>
      </c>
      <c r="B31" t="s">
        <v>16</v>
      </c>
      <c r="C31">
        <v>200</v>
      </c>
    </row>
    <row r="32" spans="1:3" x14ac:dyDescent="0.25">
      <c r="B32" t="s">
        <v>4</v>
      </c>
      <c r="C32" s="3">
        <f>6%/12</f>
        <v>5.0000000000000001E-3</v>
      </c>
    </row>
    <row r="33" spans="1:3" x14ac:dyDescent="0.25">
      <c r="B33" t="s">
        <v>9</v>
      </c>
      <c r="C33" s="6">
        <f>30*12</f>
        <v>360</v>
      </c>
    </row>
    <row r="34" spans="1:3" x14ac:dyDescent="0.25">
      <c r="C34" s="5">
        <f>FV(C32,C33,-C31,,1)</f>
        <v>201907.52353296807</v>
      </c>
    </row>
    <row r="36" spans="1:3" x14ac:dyDescent="0.25">
      <c r="A36" t="s">
        <v>6</v>
      </c>
    </row>
    <row r="37" spans="1:3" x14ac:dyDescent="0.25">
      <c r="A37" t="s">
        <v>7</v>
      </c>
      <c r="B37" t="s">
        <v>8</v>
      </c>
      <c r="C37">
        <v>25000</v>
      </c>
    </row>
    <row r="38" spans="1:3" x14ac:dyDescent="0.25">
      <c r="B38" t="s">
        <v>4</v>
      </c>
      <c r="C38">
        <f>6%/12</f>
        <v>5.0000000000000001E-3</v>
      </c>
    </row>
    <row r="39" spans="1:3" x14ac:dyDescent="0.25">
      <c r="B39" t="s">
        <v>9</v>
      </c>
      <c r="C39">
        <f>20*12</f>
        <v>240</v>
      </c>
    </row>
    <row r="40" spans="1:3" x14ac:dyDescent="0.25">
      <c r="B40" t="s">
        <v>10</v>
      </c>
      <c r="C40" s="5">
        <f>FV(C38,C39,-C37,0,0)</f>
        <v>11551022.379036635</v>
      </c>
    </row>
    <row r="42" spans="1:3" x14ac:dyDescent="0.25">
      <c r="A42" t="s">
        <v>11</v>
      </c>
    </row>
    <row r="43" spans="1:3" x14ac:dyDescent="0.25">
      <c r="A43" t="s">
        <v>12</v>
      </c>
      <c r="B43" t="s">
        <v>8</v>
      </c>
      <c r="C43">
        <v>130</v>
      </c>
    </row>
    <row r="44" spans="1:3" x14ac:dyDescent="0.25">
      <c r="B44" t="s">
        <v>13</v>
      </c>
      <c r="C44">
        <f>6%/12</f>
        <v>5.0000000000000001E-3</v>
      </c>
    </row>
    <row r="45" spans="1:3" x14ac:dyDescent="0.25">
      <c r="B45" t="s">
        <v>9</v>
      </c>
      <c r="C45">
        <f>6*12</f>
        <v>72</v>
      </c>
    </row>
    <row r="46" spans="1:3" x14ac:dyDescent="0.25">
      <c r="B46" t="s">
        <v>10</v>
      </c>
      <c r="C46" s="5">
        <f>FV(C44,C45,-C43,0,0)</f>
        <v>11233.151240782607</v>
      </c>
    </row>
    <row r="47" spans="1:3" x14ac:dyDescent="0.25">
      <c r="A47" t="s">
        <v>14</v>
      </c>
    </row>
    <row r="48" spans="1:3" x14ac:dyDescent="0.25">
      <c r="A48" t="s">
        <v>15</v>
      </c>
      <c r="B48" t="s">
        <v>8</v>
      </c>
      <c r="C48" s="2">
        <v>400</v>
      </c>
    </row>
    <row r="49" spans="2:3" x14ac:dyDescent="0.25">
      <c r="B49" t="s">
        <v>13</v>
      </c>
      <c r="C49">
        <v>0.6</v>
      </c>
    </row>
    <row r="50" spans="2:3" x14ac:dyDescent="0.25">
      <c r="B50" t="s">
        <v>9</v>
      </c>
    </row>
    <row r="51" spans="2:3" x14ac:dyDescent="0.25">
      <c r="B51" t="s">
        <v>10</v>
      </c>
      <c r="C51" s="2">
        <v>10000</v>
      </c>
    </row>
    <row r="52" spans="2:3" x14ac:dyDescent="0.25">
      <c r="B52" t="s">
        <v>20</v>
      </c>
      <c r="C52" s="1">
        <f>NPER(C49,C48,0,-C51,1)</f>
        <v>4.977406386991186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Kayasth</dc:creator>
  <cp:lastModifiedBy>Tejas Kayasth</cp:lastModifiedBy>
  <dcterms:created xsi:type="dcterms:W3CDTF">2025-08-05T10:50:24Z</dcterms:created>
  <dcterms:modified xsi:type="dcterms:W3CDTF">2025-08-05T11:51:28Z</dcterms:modified>
</cp:coreProperties>
</file>