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YASH ITM MBA\Approved Excel Projects\"/>
    </mc:Choice>
  </mc:AlternateContent>
  <bookViews>
    <workbookView xWindow="0" yWindow="0" windowWidth="23040" windowHeight="8616" firstSheet="2" activeTab="5"/>
  </bookViews>
  <sheets>
    <sheet name="Dataset" sheetId="1" r:id="rId1"/>
    <sheet name="Visual Representation" sheetId="3" r:id="rId2"/>
    <sheet name="Descriptive Statistics" sheetId="4" r:id="rId3"/>
    <sheet name="Correlation &amp; Coefficient" sheetId="2" r:id="rId4"/>
    <sheet name="Regression Analysis " sheetId="5" r:id="rId5"/>
    <sheet name=" Hypothesis Testing" sheetId="6" r:id="rId6"/>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 i="4" l="1"/>
  <c r="J19" i="4"/>
  <c r="J18" i="4"/>
  <c r="I20" i="4"/>
  <c r="I19" i="4"/>
  <c r="I18" i="4"/>
  <c r="K15" i="4"/>
  <c r="J15" i="4"/>
  <c r="I15" i="4"/>
  <c r="K14" i="4"/>
  <c r="J14" i="4"/>
  <c r="I14" i="4"/>
  <c r="K13" i="4"/>
  <c r="J13" i="4"/>
  <c r="I13" i="4"/>
  <c r="K12" i="4"/>
  <c r="J12" i="4"/>
  <c r="I12" i="4"/>
  <c r="K9" i="4"/>
  <c r="K7" i="4"/>
  <c r="K5" i="4"/>
  <c r="K3" i="4"/>
  <c r="J9" i="4"/>
  <c r="I9" i="4"/>
  <c r="J7" i="4"/>
  <c r="I7" i="4"/>
  <c r="J5" i="4"/>
  <c r="I5" i="4"/>
  <c r="J3" i="4"/>
  <c r="I3" i="4"/>
  <c r="N5" i="3"/>
  <c r="N6" i="3"/>
  <c r="N7" i="3"/>
  <c r="N8" i="3"/>
  <c r="N9" i="3"/>
  <c r="N10" i="3"/>
  <c r="N11" i="3"/>
  <c r="N4" i="3"/>
  <c r="I6" i="3"/>
  <c r="I7" i="3" s="1"/>
  <c r="I8" i="3" s="1"/>
  <c r="I4" i="3"/>
  <c r="I3" i="3"/>
  <c r="F7" i="2"/>
  <c r="O4" i="3" l="1" a="1"/>
  <c r="O4" i="3" s="1"/>
  <c r="I5" i="3"/>
  <c r="I9" i="3" s="1"/>
  <c r="I10" i="3" s="1"/>
  <c r="O12" i="3"/>
  <c r="O11" i="3"/>
  <c r="O10" i="3"/>
  <c r="O9" i="3"/>
  <c r="O8" i="3"/>
  <c r="O7" i="3"/>
  <c r="O6" i="3"/>
  <c r="O5"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<sst xmlns="http://schemas.openxmlformats.org/spreadsheetml/2006/main" count="222" uniqueCount="131">
  <si>
    <t>Credit_Score</t>
  </si>
  <si>
    <t>Debt_to_Income</t>
  </si>
  <si>
    <t>Loan_Amount</t>
  </si>
  <si>
    <t>Employment_Years</t>
  </si>
  <si>
    <t>Default_Probability</t>
  </si>
  <si>
    <t>Credit Score</t>
  </si>
  <si>
    <t>Default Probability</t>
  </si>
  <si>
    <t>Debt to Income</t>
  </si>
  <si>
    <t>Loan Amount</t>
  </si>
  <si>
    <t>Employment Years</t>
  </si>
  <si>
    <t>1. Histogram showing credit scores</t>
  </si>
  <si>
    <t>Max value</t>
  </si>
  <si>
    <t>LL</t>
  </si>
  <si>
    <t>UL</t>
  </si>
  <si>
    <t>Class Interval</t>
  </si>
  <si>
    <t>Bin</t>
  </si>
  <si>
    <t>Frequency</t>
  </si>
  <si>
    <t>Min value</t>
  </si>
  <si>
    <t>600-623</t>
  </si>
  <si>
    <t>Range</t>
  </si>
  <si>
    <t>623-646</t>
  </si>
  <si>
    <t xml:space="preserve">N (no of observations) </t>
  </si>
  <si>
    <t>646-669</t>
  </si>
  <si>
    <t>K (no of classes)</t>
  </si>
  <si>
    <t>669-692</t>
  </si>
  <si>
    <t>RoundUp</t>
  </si>
  <si>
    <t>692-715</t>
  </si>
  <si>
    <t>WOI (Range / K)</t>
  </si>
  <si>
    <t>715-738</t>
  </si>
  <si>
    <t>738-761</t>
  </si>
  <si>
    <t>761-784</t>
  </si>
  <si>
    <t>Credit_Score (x1)</t>
  </si>
  <si>
    <t>Debt_to_Income (x2)</t>
  </si>
  <si>
    <t>Default_Probability (y)</t>
  </si>
  <si>
    <t>For Mean</t>
  </si>
  <si>
    <t>For Median</t>
  </si>
  <si>
    <t>For Mode</t>
  </si>
  <si>
    <t>For Geometric Mean</t>
  </si>
  <si>
    <t>For Quartiles</t>
  </si>
  <si>
    <t>Q1</t>
  </si>
  <si>
    <t>Q2</t>
  </si>
  <si>
    <t>Q3</t>
  </si>
  <si>
    <t>Q4</t>
  </si>
  <si>
    <t>For Range</t>
  </si>
  <si>
    <t>Measure of Association between any two relevant variables (Correlation Coefficient).</t>
  </si>
  <si>
    <t>CORRELATION &amp; COEFFICIENT (r)</t>
  </si>
  <si>
    <t>formulas (correl)  = (array1, array2)</t>
  </si>
  <si>
    <t xml:space="preserve">INTERPRETATION </t>
  </si>
  <si>
    <t>There is a negative correlation nad coefficient -- as the debt-to-income ratio decrease, the default probability also decrease</t>
  </si>
  <si>
    <t>Regression Analysis with interpretation of the entire output summary</t>
  </si>
  <si>
    <t xml:space="preserve">Credit_Score </t>
  </si>
  <si>
    <t>SUMMARY OUTPUT</t>
  </si>
  <si>
    <t>Regression Statistics</t>
  </si>
  <si>
    <t>term</t>
  </si>
  <si>
    <t xml:space="preserve">interpretation </t>
  </si>
  <si>
    <t>Multiple R</t>
  </si>
  <si>
    <t>Shows the strength of the relationship between the actual and predicted values. A value closer to 1 indicates a strong correlation.</t>
  </si>
  <si>
    <t>R Square</t>
  </si>
  <si>
    <t>Explains the percentage of variation in Default Probability that is explained by the independent variables. A higher R² means the model fits better.</t>
  </si>
  <si>
    <t>Adjusted R Square</t>
  </si>
  <si>
    <t>Similar to R² but adjusted for the number of predictors used. It gives a more accurate measure when multiple variables are included.</t>
  </si>
  <si>
    <t>Standard Error</t>
  </si>
  <si>
    <t>Represents the average distance between the actual and predicted values. A smaller value indicates a more accurate model.</t>
  </si>
  <si>
    <t>Observations</t>
  </si>
  <si>
    <t>ANOVA</t>
  </si>
  <si>
    <t>df</t>
  </si>
  <si>
    <t>SS</t>
  </si>
  <si>
    <t>MS</t>
  </si>
  <si>
    <t>F</t>
  </si>
  <si>
    <t>Significance F</t>
  </si>
  <si>
    <t>Regression</t>
  </si>
  <si>
    <t>Residual</t>
  </si>
  <si>
    <t>Total</t>
  </si>
  <si>
    <t>Coefficients</t>
  </si>
  <si>
    <t>t Stat</t>
  </si>
  <si>
    <t>P-value</t>
  </si>
  <si>
    <t>Lower 95%</t>
  </si>
  <si>
    <t>Upper 95%</t>
  </si>
  <si>
    <t>Intercept</t>
  </si>
  <si>
    <t>Interpretation of Regression Output</t>
  </si>
  <si>
    <t>ANOVA (Analysis of Variance)</t>
  </si>
  <si>
    <t>Term</t>
  </si>
  <si>
    <t>Interpretation</t>
  </si>
  <si>
    <t>F-statistic</t>
  </si>
  <si>
    <t>Tests whether the regression model as a whole is statistically significant.</t>
  </si>
  <si>
    <t>Significance F (p-value)</t>
  </si>
  <si>
    <t>If the value is less than 0.05, it means the overall regression model is significant and the independent variables collectively have a meaningful impact on Default Probability.</t>
  </si>
  <si>
    <t xml:space="preserve"> Coefficients of Variables</t>
  </si>
  <si>
    <t>Variable</t>
  </si>
  <si>
    <t>Coefficient</t>
  </si>
  <si>
    <t>(base value)</t>
  </si>
  <si>
    <t>—</t>
  </si>
  <si>
    <t>Indicates the starting point or base level of Default Probability when all independent variables are zero.</t>
  </si>
  <si>
    <t>Usually negative</t>
  </si>
  <si>
    <t>&lt; 0.05</t>
  </si>
  <si>
    <t>A higher credit score is linked to a lower probability of default, showing that borrowers with better credit are less risky.</t>
  </si>
  <si>
    <t>Positive</t>
  </si>
  <si>
    <t>As the debt-to-income ratio increases, the default probability also increases, meaning higher debt burdens lead to greater risk.</t>
  </si>
  <si>
    <t>Slightly positive</t>
  </si>
  <si>
    <t>Around 0.05</t>
  </si>
  <si>
    <t>Larger loan amounts tend to slightly increase the probability of default.</t>
  </si>
  <si>
    <t>Negative</t>
  </si>
  <si>
    <t>More years of employment are associated with lower default risk, suggesting job stability reduces the chance of default.</t>
  </si>
  <si>
    <t xml:space="preserve">Final conclusion </t>
  </si>
  <si>
    <t>In this case study, a fintech lending platform aimed to predict loan default risk to improve its credit scoring system. The regression analysis of the dataset showed that the model is statistically significant, meaning the independent variables strongly influence default probability. The R² value indicates that a large portion of the variation in default risk is explained by the predictors. Credit score, debt-to-income ratio, and employment years were found to be the most significant factors. Borrowers with higher credit scores, lower debt ratios, and longer employment are less likely to default. These findings can help the platform develop better risk assessment and lending strategies</t>
  </si>
  <si>
    <t>Variable 1</t>
  </si>
  <si>
    <t>Variable 2</t>
  </si>
  <si>
    <t>Mean</t>
  </si>
  <si>
    <t>Variance</t>
  </si>
  <si>
    <t>Pearson Correlation</t>
  </si>
  <si>
    <t>Hypothesized Mean Difference</t>
  </si>
  <si>
    <t>P(T&lt;=t) one-tail</t>
  </si>
  <si>
    <t>t Critical one-tail</t>
  </si>
  <si>
    <t>P(T&lt;=t) two-tail</t>
  </si>
  <si>
    <t>t Critical two-tail</t>
  </si>
  <si>
    <t>Pooled Variance</t>
  </si>
  <si>
    <t>P(F&lt;=f) one-tail</t>
  </si>
  <si>
    <t>F Critical one-tail</t>
  </si>
  <si>
    <t>Lower 95.0%</t>
  </si>
  <si>
    <t>Upper 95.0%</t>
  </si>
  <si>
    <t>X Variable 1</t>
  </si>
  <si>
    <t>Correlation and Coefficient Analysis</t>
  </si>
  <si>
    <t>F-Test / Regression Analysis</t>
  </si>
  <si>
    <t>Regression Statistics Summary</t>
  </si>
  <si>
    <t>ANOVA (Analysis of Variance )</t>
  </si>
  <si>
    <t>t-Test Two Sample Assuming Equal Variance</t>
  </si>
  <si>
    <t>t-Test Two Sample Assuming Unequal Variance</t>
  </si>
  <si>
    <t>Coefficient and Significsance Table</t>
  </si>
  <si>
    <r>
      <t xml:space="preserve">                                                                                                                                                                                     </t>
    </r>
    <r>
      <rPr>
        <b/>
        <sz val="20"/>
        <color theme="1"/>
        <rFont val="Times New Roman"/>
        <family val="1"/>
      </rPr>
      <t xml:space="preserve">Hypothesis Testing (t test on correlation coefficient and F test on Regression) </t>
    </r>
  </si>
  <si>
    <r>
      <t xml:space="preserve">The regression output helps in understanding how the independent variables influence the dependent variable, i.e., </t>
    </r>
    <r>
      <rPr>
        <b/>
        <sz val="20"/>
        <color theme="1"/>
        <rFont val="Cambria"/>
        <family val="1"/>
      </rPr>
      <t>Default Probability</t>
    </r>
    <r>
      <rPr>
        <sz val="20"/>
        <color theme="1"/>
        <rFont val="Cambria"/>
        <family val="1"/>
      </rPr>
      <t>. Below is the interpretation of the main components from the regression summary.</t>
    </r>
  </si>
  <si>
    <r>
      <t xml:space="preserve">If the </t>
    </r>
    <r>
      <rPr>
        <b/>
        <sz val="20"/>
        <color theme="1"/>
        <rFont val="Cambria"/>
        <family val="1"/>
      </rPr>
      <t>P-value</t>
    </r>
    <r>
      <rPr>
        <sz val="20"/>
        <color theme="1"/>
        <rFont val="Cambria"/>
        <family val="1"/>
      </rPr>
      <t xml:space="preserve"> of a variable is less than </t>
    </r>
    <r>
      <rPr>
        <b/>
        <sz val="20"/>
        <color theme="1"/>
        <rFont val="Cambria"/>
        <family val="1"/>
      </rPr>
      <t>0.05</t>
    </r>
    <r>
      <rPr>
        <sz val="20"/>
        <color theme="1"/>
        <rFont val="Cambria"/>
        <family val="1"/>
      </rPr>
      <t xml:space="preserve">, it means that variable has a </t>
    </r>
    <r>
      <rPr>
        <b/>
        <sz val="20"/>
        <color theme="1"/>
        <rFont val="Cambria"/>
        <family val="1"/>
      </rPr>
      <t>significant impact</t>
    </r>
    <r>
      <rPr>
        <sz val="20"/>
        <color theme="1"/>
        <rFont val="Cambria"/>
        <family val="1"/>
      </rPr>
      <t xml:space="preserve"> on the Default Probability. In this analysis, </t>
    </r>
    <r>
      <rPr>
        <b/>
        <sz val="20"/>
        <color theme="1"/>
        <rFont val="Cambria"/>
        <family val="1"/>
      </rPr>
      <t>Credit Score</t>
    </r>
    <r>
      <rPr>
        <sz val="20"/>
        <color theme="1"/>
        <rFont val="Cambria"/>
        <family val="1"/>
      </rPr>
      <t xml:space="preserve">, </t>
    </r>
    <r>
      <rPr>
        <b/>
        <sz val="20"/>
        <color theme="1"/>
        <rFont val="Cambria"/>
        <family val="1"/>
      </rPr>
      <t>Debt-to-Income Ratio</t>
    </r>
    <r>
      <rPr>
        <sz val="20"/>
        <color theme="1"/>
        <rFont val="Cambria"/>
        <family val="1"/>
      </rPr>
      <t xml:space="preserve">, and </t>
    </r>
    <r>
      <rPr>
        <b/>
        <sz val="20"/>
        <color theme="1"/>
        <rFont val="Cambria"/>
        <family val="1"/>
      </rPr>
      <t>Employment Years</t>
    </r>
    <r>
      <rPr>
        <sz val="20"/>
        <color theme="1"/>
        <rFont val="Cambria"/>
        <family val="1"/>
      </rPr>
      <t xml:space="preserve"> are likely to be significant predictors, showing that better credit scores, lower debt ratios, and longer employment reduce the risk of loan default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</si>
</sst>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Arial"/>
      <family val="2"/>
    </font>
    <font>
      <sz val="20"/>
      <color theme="1"/>
      <name val="Calibri"/>
      <family val="2"/>
      <scheme val="minor"/>
    </font>
    <font>
      <b/>
      <sz val="20"/>
      <color theme="1"/>
      <name val="Calibri"/>
      <family val="2"/>
      <scheme val="minor"/>
    </font>
    <font>
      <sz val="12"/>
      <color theme="1"/>
      <name val="Calibri"/>
      <family val="2"/>
      <scheme val="minor"/>
    </font>
    <font>
      <sz val="8"/>
      <name val="Calibri"/>
      <family val="2"/>
      <scheme val="minor"/>
    </font>
    <font>
      <sz val="14"/>
      <color theme="1"/>
      <name val="Calibri"/>
      <family val="2"/>
      <scheme val="minor"/>
    </font>
    <font>
      <sz val="11"/>
      <color theme="1"/>
      <name val="Calibri"/>
      <family val="2"/>
      <scheme val="minor"/>
    </font>
    <font>
      <b/>
      <sz val="20"/>
      <color theme="1"/>
      <name val="Times New Roman"/>
      <family val="1"/>
    </font>
    <font>
      <sz val="14"/>
      <color theme="1"/>
      <name val="Arial"/>
      <family val="2"/>
    </font>
    <font>
      <b/>
      <sz val="14"/>
      <color theme="1"/>
      <name val="Arial"/>
      <family val="2"/>
    </font>
    <font>
      <b/>
      <sz val="14"/>
      <color theme="1"/>
      <name val="Times New Roman"/>
      <family val="1"/>
    </font>
    <font>
      <i/>
      <sz val="14"/>
      <color theme="1"/>
      <name val="Calibri"/>
      <family val="2"/>
      <scheme val="minor"/>
    </font>
    <font>
      <b/>
      <sz val="14"/>
      <color theme="1"/>
      <name val="Calibri"/>
      <family val="2"/>
      <scheme val="minor"/>
    </font>
    <font>
      <b/>
      <sz val="18"/>
      <color theme="1"/>
      <name val="Calibri"/>
      <family val="2"/>
      <scheme val="minor"/>
    </font>
    <font>
      <sz val="18"/>
      <color theme="1"/>
      <name val="Calibri"/>
      <family val="2"/>
      <scheme val="minor"/>
    </font>
    <font>
      <sz val="18"/>
      <color rgb="FF000000"/>
      <name val="Arial"/>
      <family val="2"/>
    </font>
    <font>
      <b/>
      <sz val="18"/>
      <color rgb="FF000000"/>
      <name val="Calibri"/>
      <family val="2"/>
    </font>
    <font>
      <b/>
      <u/>
      <sz val="14"/>
      <color rgb="FF000000"/>
      <name val="Calibri"/>
      <family val="2"/>
      <scheme val="minor"/>
    </font>
    <font>
      <sz val="14"/>
      <color rgb="FF000000"/>
      <name val="Calibri"/>
      <family val="2"/>
    </font>
    <font>
      <b/>
      <u/>
      <sz val="14"/>
      <color theme="1"/>
      <name val="Calibri"/>
      <family val="2"/>
      <scheme val="minor"/>
    </font>
    <font>
      <sz val="20"/>
      <color theme="1"/>
      <name val="Cambria"/>
      <family val="1"/>
    </font>
    <font>
      <b/>
      <sz val="20"/>
      <color theme="1"/>
      <name val="Cambria"/>
      <family val="1"/>
    </font>
    <font>
      <sz val="20"/>
      <color rgb="FF000000"/>
      <name val="Cambria"/>
      <family val="1"/>
    </font>
    <font>
      <b/>
      <sz val="28"/>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medium">
        <color rgb="FF000000"/>
      </top>
      <bottom style="medium">
        <color rgb="FF000000"/>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7" fillId="0" borderId="0" applyFont="0" applyFill="0" applyBorder="0" applyAlignment="0" applyProtection="0"/>
  </cellStyleXfs>
  <cellXfs count="132">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2" fillId="0" borderId="0" xfId="0" applyFont="1"/>
    <xf numFmtId="0" fontId="0" fillId="0" borderId="0" xfId="0" applyAlignment="1"/>
    <xf numFmtId="0" fontId="0" fillId="6" borderId="0" xfId="0" applyFill="1" applyAlignment="1">
      <alignment vertical="top"/>
    </xf>
    <xf numFmtId="0" fontId="0" fillId="6" borderId="0" xfId="0" applyFill="1" applyAlignment="1"/>
    <xf numFmtId="0" fontId="0" fillId="6" borderId="0" xfId="0" applyFill="1"/>
    <xf numFmtId="0" fontId="0" fillId="5" borderId="27" xfId="0" applyFill="1" applyBorder="1" applyAlignment="1">
      <alignment vertical="top"/>
    </xf>
    <xf numFmtId="0" fontId="0" fillId="5" borderId="28" xfId="0" applyFill="1" applyBorder="1" applyAlignment="1">
      <alignment vertical="top"/>
    </xf>
    <xf numFmtId="0" fontId="0" fillId="5" borderId="12" xfId="0" applyFill="1" applyBorder="1" applyAlignment="1">
      <alignment vertical="top"/>
    </xf>
    <xf numFmtId="0" fontId="9" fillId="0" borderId="2"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10" fillId="0" borderId="4" xfId="0" applyFont="1" applyBorder="1"/>
    <xf numFmtId="0" fontId="10" fillId="0" borderId="5" xfId="0" applyFont="1" applyBorder="1"/>
    <xf numFmtId="0" fontId="10" fillId="0" borderId="6" xfId="0" applyFont="1" applyBorder="1"/>
    <xf numFmtId="0" fontId="6" fillId="0" borderId="30" xfId="0" applyFont="1" applyBorder="1"/>
    <xf numFmtId="0" fontId="6" fillId="0" borderId="31" xfId="0" applyFont="1" applyBorder="1"/>
    <xf numFmtId="0" fontId="6" fillId="0" borderId="32" xfId="0" applyFont="1" applyBorder="1"/>
    <xf numFmtId="0" fontId="6" fillId="0" borderId="1" xfId="0" applyFont="1" applyBorder="1"/>
    <xf numFmtId="0" fontId="6" fillId="0" borderId="33" xfId="0" applyFont="1" applyBorder="1"/>
    <xf numFmtId="0" fontId="12" fillId="0" borderId="32" xfId="0" applyFont="1" applyFill="1" applyBorder="1" applyAlignment="1">
      <alignment horizontal="center"/>
    </xf>
    <xf numFmtId="0" fontId="12" fillId="0" borderId="1" xfId="0" applyFont="1" applyFill="1" applyBorder="1" applyAlignment="1">
      <alignment horizontal="center"/>
    </xf>
    <xf numFmtId="0" fontId="6" fillId="0" borderId="32" xfId="0" applyFont="1" applyFill="1" applyBorder="1" applyAlignment="1"/>
    <xf numFmtId="0" fontId="6" fillId="0" borderId="1" xfId="0" applyFont="1" applyFill="1" applyBorder="1" applyAlignment="1"/>
    <xf numFmtId="0" fontId="11" fillId="0" borderId="1" xfId="0" applyFont="1" applyBorder="1"/>
    <xf numFmtId="0" fontId="12" fillId="0" borderId="1" xfId="0" applyFont="1" applyFill="1" applyBorder="1" applyAlignment="1">
      <alignment horizontal="centerContinuous"/>
    </xf>
    <xf numFmtId="0" fontId="11" fillId="0" borderId="32" xfId="0" applyFont="1" applyBorder="1"/>
    <xf numFmtId="0" fontId="12" fillId="0" borderId="33" xfId="0" applyFont="1" applyFill="1" applyBorder="1" applyAlignment="1">
      <alignment horizontal="center"/>
    </xf>
    <xf numFmtId="0" fontId="6" fillId="0" borderId="33" xfId="0" applyFont="1" applyFill="1" applyBorder="1" applyAlignment="1"/>
    <xf numFmtId="0" fontId="6" fillId="0" borderId="34" xfId="0" applyFont="1" applyBorder="1"/>
    <xf numFmtId="0" fontId="6" fillId="0" borderId="35" xfId="0" applyFont="1" applyBorder="1"/>
    <xf numFmtId="0" fontId="6" fillId="0" borderId="36" xfId="0" applyFont="1" applyBorder="1"/>
    <xf numFmtId="0" fontId="11" fillId="5" borderId="29" xfId="0" applyFont="1" applyFill="1" applyBorder="1"/>
    <xf numFmtId="0" fontId="11" fillId="5" borderId="30" xfId="0" applyFont="1" applyFill="1" applyBorder="1"/>
    <xf numFmtId="0" fontId="11" fillId="5" borderId="32" xfId="0" applyFont="1" applyFill="1" applyBorder="1"/>
    <xf numFmtId="0" fontId="11" fillId="5" borderId="1" xfId="0" applyFont="1" applyFill="1" applyBorder="1"/>
    <xf numFmtId="0" fontId="13" fillId="5" borderId="1" xfId="0" applyFont="1" applyFill="1" applyBorder="1"/>
    <xf numFmtId="0" fontId="6" fillId="0" borderId="0" xfId="0" applyFont="1"/>
    <xf numFmtId="0" fontId="6" fillId="0" borderId="14" xfId="0" applyFont="1" applyBorder="1" applyAlignment="1">
      <alignment horizontal="center"/>
    </xf>
    <xf numFmtId="0" fontId="6" fillId="0" borderId="2" xfId="0" applyFont="1" applyBorder="1" applyAlignment="1">
      <alignment horizontal="center"/>
    </xf>
    <xf numFmtId="0" fontId="13" fillId="0" borderId="0" xfId="0" applyFont="1"/>
    <xf numFmtId="0" fontId="16" fillId="0" borderId="10" xfId="0" applyFont="1" applyBorder="1" applyAlignment="1">
      <alignment horizontal="center" wrapText="1"/>
    </xf>
    <xf numFmtId="0" fontId="16" fillId="0" borderId="12" xfId="0" applyFont="1" applyBorder="1" applyAlignment="1">
      <alignment horizontal="center" wrapText="1"/>
    </xf>
    <xf numFmtId="0" fontId="15" fillId="0" borderId="0" xfId="0" applyFont="1"/>
    <xf numFmtId="0" fontId="16" fillId="0" borderId="11" xfId="0" applyFont="1" applyBorder="1" applyAlignment="1">
      <alignment horizontal="center" wrapText="1"/>
    </xf>
    <xf numFmtId="0" fontId="16" fillId="0" borderId="13" xfId="0" applyFont="1" applyBorder="1" applyAlignment="1">
      <alignment horizontal="center" wrapText="1"/>
    </xf>
    <xf numFmtId="0" fontId="14" fillId="0" borderId="0" xfId="0" applyFont="1"/>
    <xf numFmtId="0" fontId="17" fillId="0" borderId="0" xfId="0" applyFont="1" applyAlignment="1">
      <alignment wrapText="1"/>
    </xf>
    <xf numFmtId="0" fontId="15" fillId="0" borderId="0" xfId="0" applyFont="1" applyAlignment="1">
      <alignment wrapText="1"/>
    </xf>
    <xf numFmtId="0" fontId="13" fillId="0" borderId="14" xfId="0" applyFont="1" applyBorder="1" applyAlignment="1">
      <alignment horizontal="center"/>
    </xf>
    <xf numFmtId="0" fontId="13" fillId="0" borderId="0" xfId="0" applyFont="1" applyAlignment="1">
      <alignment horizontal="center"/>
    </xf>
    <xf numFmtId="0" fontId="6" fillId="0" borderId="0" xfId="0" applyFont="1" applyAlignment="1">
      <alignment horizontal="center"/>
    </xf>
    <xf numFmtId="0" fontId="13" fillId="0" borderId="23" xfId="0" applyFont="1" applyBorder="1" applyAlignment="1">
      <alignment horizontal="center"/>
    </xf>
    <xf numFmtId="0" fontId="4" fillId="0" borderId="1" xfId="0" applyFont="1" applyBorder="1" applyAlignment="1">
      <alignment horizontal="center"/>
    </xf>
    <xf numFmtId="0" fontId="6" fillId="0" borderId="4" xfId="0" applyFont="1" applyBorder="1"/>
    <xf numFmtId="0" fontId="6" fillId="0" borderId="5" xfId="0" applyFont="1" applyBorder="1"/>
    <xf numFmtId="0" fontId="6" fillId="0" borderId="6" xfId="0" applyFont="1" applyBorder="1"/>
    <xf numFmtId="0" fontId="13" fillId="0" borderId="8" xfId="0" applyFont="1" applyBorder="1"/>
    <xf numFmtId="0" fontId="6" fillId="0" borderId="1" xfId="0" applyFont="1" applyBorder="1" applyAlignment="1">
      <alignment horizontal="center"/>
    </xf>
    <xf numFmtId="0" fontId="6" fillId="0" borderId="3"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18" fillId="0" borderId="0" xfId="0" applyFont="1"/>
    <xf numFmtId="0" fontId="9" fillId="0" borderId="14" xfId="0" applyFont="1" applyBorder="1" applyAlignment="1">
      <alignment horizontal="center"/>
    </xf>
    <xf numFmtId="0" fontId="9" fillId="0" borderId="14" xfId="1" applyNumberFormat="1" applyFont="1" applyBorder="1" applyAlignment="1">
      <alignment horizontal="center"/>
    </xf>
    <xf numFmtId="0" fontId="19" fillId="0" borderId="1" xfId="0" applyFont="1" applyBorder="1"/>
    <xf numFmtId="0" fontId="6" fillId="0" borderId="26" xfId="0" applyFont="1" applyBorder="1" applyAlignment="1">
      <alignment horizontal="center"/>
    </xf>
    <xf numFmtId="0" fontId="20" fillId="0" borderId="0" xfId="0" applyFont="1"/>
    <xf numFmtId="0" fontId="2" fillId="5" borderId="27" xfId="0" applyFont="1" applyFill="1" applyBorder="1"/>
    <xf numFmtId="0" fontId="2" fillId="5" borderId="28" xfId="0" applyFont="1" applyFill="1" applyBorder="1"/>
    <xf numFmtId="0" fontId="2" fillId="6" borderId="0" xfId="0" applyFont="1" applyFill="1" applyBorder="1"/>
    <xf numFmtId="0" fontId="3" fillId="6" borderId="0" xfId="0" applyFont="1" applyFill="1" applyBorder="1"/>
    <xf numFmtId="0" fontId="2" fillId="2" borderId="14" xfId="0" applyFont="1" applyFill="1" applyBorder="1"/>
    <xf numFmtId="0" fontId="2" fillId="0" borderId="14" xfId="0" applyFont="1" applyBorder="1" applyAlignment="1">
      <alignment horizontal="center"/>
    </xf>
    <xf numFmtId="0" fontId="21" fillId="2" borderId="15" xfId="0" applyFont="1" applyFill="1" applyBorder="1"/>
    <xf numFmtId="0" fontId="21" fillId="0" borderId="16" xfId="0" applyFont="1" applyBorder="1"/>
    <xf numFmtId="0" fontId="2" fillId="0" borderId="16" xfId="0" applyFont="1" applyBorder="1"/>
    <xf numFmtId="0" fontId="2" fillId="0" borderId="17" xfId="0" applyFont="1" applyBorder="1"/>
    <xf numFmtId="0" fontId="21" fillId="3" borderId="14" xfId="0" applyFont="1" applyFill="1" applyBorder="1"/>
    <xf numFmtId="0" fontId="21" fillId="0" borderId="23" xfId="0" applyFont="1" applyBorder="1"/>
    <xf numFmtId="0" fontId="21" fillId="0" borderId="15" xfId="0" applyFont="1" applyBorder="1"/>
    <xf numFmtId="0" fontId="2" fillId="0" borderId="19" xfId="0" applyFont="1" applyBorder="1"/>
    <xf numFmtId="0" fontId="21" fillId="0" borderId="14" xfId="0" applyFont="1" applyBorder="1"/>
    <xf numFmtId="0" fontId="21" fillId="2" borderId="18" xfId="0" applyFont="1" applyFill="1" applyBorder="1"/>
    <xf numFmtId="0" fontId="21" fillId="0" borderId="0" xfId="0" applyFont="1"/>
    <xf numFmtId="0" fontId="21" fillId="0" borderId="23" xfId="0" applyFont="1" applyBorder="1" applyAlignment="1">
      <alignment horizontal="center"/>
    </xf>
    <xf numFmtId="0" fontId="21" fillId="0" borderId="18" xfId="0" applyFont="1" applyBorder="1"/>
    <xf numFmtId="0" fontId="21" fillId="0" borderId="20" xfId="0" applyFont="1" applyBorder="1" applyAlignment="1">
      <alignment horizontal="center"/>
    </xf>
    <xf numFmtId="0" fontId="21" fillId="0" borderId="21" xfId="0" applyFont="1" applyBorder="1" applyAlignment="1">
      <alignment horizontal="center"/>
    </xf>
    <xf numFmtId="0" fontId="21" fillId="0" borderId="21" xfId="0" applyFont="1" applyBorder="1"/>
    <xf numFmtId="0" fontId="2" fillId="0" borderId="21" xfId="0" applyFont="1" applyBorder="1"/>
    <xf numFmtId="0" fontId="2" fillId="0" borderId="22" xfId="0" applyFont="1" applyBorder="1"/>
    <xf numFmtId="0" fontId="21" fillId="0" borderId="0" xfId="0" applyFont="1" applyAlignment="1">
      <alignment horizontal="center"/>
    </xf>
    <xf numFmtId="0" fontId="21" fillId="2" borderId="14" xfId="0" applyFont="1" applyFill="1" applyBorder="1"/>
    <xf numFmtId="0" fontId="21" fillId="0" borderId="14" xfId="0" applyFont="1" applyBorder="1" applyAlignment="1">
      <alignment horizontal="center"/>
    </xf>
    <xf numFmtId="0" fontId="21" fillId="3" borderId="14" xfId="0" applyFont="1" applyFill="1" applyBorder="1" applyAlignment="1">
      <alignment horizontal="center"/>
    </xf>
    <xf numFmtId="11" fontId="21" fillId="0" borderId="14" xfId="0" applyNumberFormat="1" applyFont="1" applyBorder="1" applyAlignment="1">
      <alignment horizontal="center"/>
    </xf>
    <xf numFmtId="0" fontId="2" fillId="0" borderId="14" xfId="0" applyFont="1" applyBorder="1"/>
    <xf numFmtId="0" fontId="22" fillId="2" borderId="18" xfId="0" applyFont="1" applyFill="1" applyBorder="1"/>
    <xf numFmtId="0" fontId="21" fillId="2" borderId="0" xfId="0" applyFont="1" applyFill="1"/>
    <xf numFmtId="0" fontId="21" fillId="0" borderId="19" xfId="0" applyFont="1" applyBorder="1"/>
    <xf numFmtId="0" fontId="22" fillId="0" borderId="18" xfId="0" applyFont="1" applyBorder="1"/>
    <xf numFmtId="0" fontId="21" fillId="2" borderId="16" xfId="0" applyFont="1" applyFill="1" applyBorder="1"/>
    <xf numFmtId="0" fontId="21" fillId="0" borderId="17" xfId="0" applyFont="1" applyBorder="1"/>
    <xf numFmtId="0" fontId="21" fillId="0" borderId="20" xfId="0" applyFont="1" applyBorder="1"/>
    <xf numFmtId="0" fontId="21" fillId="0" borderId="22" xfId="0" applyFont="1" applyBorder="1"/>
    <xf numFmtId="0" fontId="21" fillId="0" borderId="24" xfId="0" applyFont="1" applyBorder="1"/>
    <xf numFmtId="0" fontId="21" fillId="3" borderId="23" xfId="0" applyFont="1" applyFill="1" applyBorder="1"/>
    <xf numFmtId="0" fontId="21" fillId="3" borderId="24" xfId="0" applyFont="1" applyFill="1" applyBorder="1"/>
    <xf numFmtId="0" fontId="21" fillId="0" borderId="18" xfId="0" applyFont="1" applyBorder="1" applyAlignment="1">
      <alignment horizontal="center" wrapText="1"/>
    </xf>
    <xf numFmtId="0" fontId="21" fillId="0" borderId="0" xfId="0" applyFont="1" applyAlignment="1">
      <alignment horizontal="center" wrapText="1"/>
    </xf>
    <xf numFmtId="0" fontId="3" fillId="0" borderId="18" xfId="0" applyFont="1" applyBorder="1"/>
    <xf numFmtId="0" fontId="2" fillId="2" borderId="0" xfId="0" applyFont="1" applyFill="1" applyAlignment="1">
      <alignment horizontal="center"/>
    </xf>
    <xf numFmtId="0" fontId="23" fillId="0" borderId="18" xfId="0" applyFont="1" applyBorder="1" applyAlignment="1">
      <alignment horizontal="left" vertical="center" wrapText="1"/>
    </xf>
    <xf numFmtId="0" fontId="2" fillId="0" borderId="0" xfId="0" applyFont="1" applyAlignment="1">
      <alignment horizontal="left" vertical="center" wrapText="1"/>
    </xf>
    <xf numFmtId="0" fontId="2" fillId="0" borderId="18" xfId="0" applyFont="1" applyBorder="1" applyAlignment="1">
      <alignment horizontal="left" vertical="center" wrapText="1"/>
    </xf>
    <xf numFmtId="0" fontId="2" fillId="0" borderId="20" xfId="0" applyFont="1" applyBorder="1" applyAlignment="1">
      <alignment horizontal="left" vertical="center" wrapText="1"/>
    </xf>
    <xf numFmtId="0" fontId="2" fillId="0" borderId="21" xfId="0" applyFont="1" applyBorder="1" applyAlignment="1">
      <alignment horizontal="left" vertical="center" wrapText="1"/>
    </xf>
    <xf numFmtId="0" fontId="24" fillId="4" borderId="25" xfId="0" applyFont="1" applyFill="1" applyBorder="1" applyAlignment="1">
      <alignment horizontal="left"/>
    </xf>
  </cellXfs>
  <cellStyles count="2">
    <cellStyle name="Normal" xfId="0" builtinId="0"/>
    <cellStyle name="Percent" xfId="1" builtinId="5"/>
  </cellStyles>
  <dxfs count="30">
    <dxf>
      <font>
        <b val="0"/>
        <i val="0"/>
        <strike val="0"/>
        <condense val="0"/>
        <extend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scheme val="minor"/>
      </font>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Arial"/>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theme="1"/>
        <name val="Arial"/>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Arial"/>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Arial"/>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Arial"/>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Arial"/>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Arial"/>
        <scheme val="none"/>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Credit</a:t>
            </a:r>
            <a:r>
              <a:rPr lang="en-IN" baseline="0"/>
              <a:t> Scores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'Visual Representation'!$O$3</c:f>
              <c:strCache>
                <c:ptCount val="1"/>
                <c:pt idx="0">
                  <c:v>Frequency</c:v>
                </c:pt>
              </c:strCache>
            </c:strRef>
          </c:tx>
          <c:spPr>
            <a:solidFill>
              <a:srgbClr val="00B0F0"/>
            </a:solidFill>
            <a:ln>
              <a:solidFill>
                <a:schemeClr val="tx1">
                  <a:alpha val="9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'Visual Representation'!$M$4:$M$11</c:f>
              <c:strCache>
                <c:ptCount val="8"/>
                <c:pt idx="0">
                  <c:v>600-623</c:v>
                </c:pt>
                <c:pt idx="1">
                  <c:v>623-646</c:v>
                </c:pt>
                <c:pt idx="2">
                  <c:v>646-669</c:v>
                </c:pt>
                <c:pt idx="3">
                  <c:v>669-692</c:v>
                </c:pt>
                <c:pt idx="4">
                  <c:v>692-715</c:v>
                </c:pt>
                <c:pt idx="5">
                  <c:v>715-738</c:v>
                </c:pt>
                <c:pt idx="6">
                  <c:v>738-761</c:v>
                </c:pt>
                <c:pt idx="7">
                  <c:v>761-784</c:v>
                </c:pt>
              </c:strCache>
            </c:strRef>
          </c:cat>
          <c:val>
            <c:numRef>
              <c:f>'Visual Representation'!$O$4:$O$12</c:f>
              <c:numCache>
                <c:formatCode>General</c:formatCode>
                <c:ptCount val="9"/>
                <c:pt idx="0">
                  <c:v>15</c:v>
                </c:pt>
                <c:pt idx="1">
                  <c:v>5</c:v>
                </c:pt>
                <c:pt idx="2">
                  <c:v>10</c:v>
                </c:pt>
                <c:pt idx="3">
                  <c:v>19</c:v>
                </c:pt>
                <c:pt idx="4">
                  <c:v>18</c:v>
                </c:pt>
                <c:pt idx="5">
                  <c:v>11</c:v>
                </c:pt>
                <c:pt idx="6">
                  <c:v>19</c:v>
                </c:pt>
                <c:pt idx="7">
                  <c:v>1</c:v>
                </c:pt>
                <c:pt idx="8">
                  <c:v>0</c:v>
                </c:pt>
              </c:numCache>
            </c:numRef>
          </c:val>
          <c:extLst>
            <c:ext xmlns:c16="http://schemas.microsoft.com/office/drawing/2014/chart" uri="{C3380CC4-5D6E-409C-BE32-E72D297353CC}">
              <c16:uniqueId val="{00000004-E599-4C91-B23A-651726E3F9D8}"/>
            </c:ext>
          </c:extLst>
        </c:ser>
        <c:dLbls>
          <c:dLblPos val="outEnd"/>
          <c:showLegendKey val="0"/>
          <c:showVal val="1"/>
          <c:showCatName val="0"/>
          <c:showSerName val="0"/>
          <c:showPercent val="0"/>
          <c:showBubbleSize val="0"/>
        </c:dLbls>
        <c:gapWidth val="0"/>
        <c:overlap val="3"/>
        <c:axId val="243919071"/>
        <c:axId val="243928671"/>
      </c:barChart>
      <c:catAx>
        <c:axId val="243919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CLASS</a:t>
                </a:r>
                <a:r>
                  <a:rPr lang="en-IN" baseline="0"/>
                  <a:t> INTERVAL</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28671"/>
        <c:crosses val="autoZero"/>
        <c:auto val="1"/>
        <c:lblAlgn val="ctr"/>
        <c:lblOffset val="100"/>
        <c:noMultiLvlLbl val="0"/>
      </c:catAx>
      <c:valAx>
        <c:axId val="24392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FREQUENCY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'Visual Representation'!$C$2</c:f>
              <c:strCache>
                <c:ptCount val="1"/>
                <c:pt idx="0">
                  <c:v>Default Probability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'Visual Representation'!$C$3:$C$100</c:f>
              <c:numCache>
                <c:formatCode>General</c:formatCode>
                <c:ptCount val="98"/>
                <c:pt idx="0">
                  <c:v>0.12</c:v>
                </c:pt>
                <c:pt idx="1">
                  <c:v>0.28000000000000003</c:v>
                </c:pt>
                <c:pt idx="2">
                  <c:v>0.05</c:v>
                </c:pt>
                <c:pt idx="3">
                  <c:v>0.35</c:v>
                </c:pt>
                <c:pt idx="4">
                  <c:v>0.15</c:v>
                </c:pt>
                <c:pt idx="5">
                  <c:v>0.2</c:v>
                </c:pt>
                <c:pt idx="6">
                  <c:v>0.1</c:v>
                </c:pt>
                <c:pt idx="7">
                  <c:v>0.4</c:v>
                </c:pt>
                <c:pt idx="8">
                  <c:v>0.18</c:v>
                </c:pt>
                <c:pt idx="9">
                  <c:v>0.25</c:v>
                </c:pt>
                <c:pt idx="10">
                  <c:v>0.08</c:v>
                </c:pt>
                <c:pt idx="11">
                  <c:v>0.22</c:v>
                </c:pt>
                <c:pt idx="12">
                  <c:v>0.06</c:v>
                </c:pt>
                <c:pt idx="13">
                  <c:v>0.38</c:v>
                </c:pt>
                <c:pt idx="14">
                  <c:v>0.14000000000000001</c:v>
                </c:pt>
                <c:pt idx="15">
                  <c:v>0.27</c:v>
                </c:pt>
                <c:pt idx="16">
                  <c:v>0.09</c:v>
                </c:pt>
                <c:pt idx="17">
                  <c:v>0.36</c:v>
                </c:pt>
                <c:pt idx="18">
                  <c:v>0.16</c:v>
                </c:pt>
                <c:pt idx="19">
                  <c:v>0.24</c:v>
                </c:pt>
                <c:pt idx="20">
                  <c:v>0.11</c:v>
                </c:pt>
                <c:pt idx="21">
                  <c:v>0.3</c:v>
                </c:pt>
                <c:pt idx="22">
                  <c:v>7.0000000000000007E-2</c:v>
                </c:pt>
                <c:pt idx="23">
                  <c:v>0.39</c:v>
                </c:pt>
                <c:pt idx="24">
                  <c:v>0.13</c:v>
                </c:pt>
                <c:pt idx="25">
                  <c:v>0.26</c:v>
                </c:pt>
                <c:pt idx="26">
                  <c:v>0.08</c:v>
                </c:pt>
                <c:pt idx="27">
                  <c:v>0.37</c:v>
                </c:pt>
                <c:pt idx="28">
                  <c:v>0.17</c:v>
                </c:pt>
                <c:pt idx="29">
                  <c:v>0.23</c:v>
                </c:pt>
                <c:pt idx="30">
                  <c:v>0.1</c:v>
                </c:pt>
                <c:pt idx="31">
                  <c:v>0.28999999999999998</c:v>
                </c:pt>
                <c:pt idx="32">
                  <c:v>0.06</c:v>
                </c:pt>
                <c:pt idx="33">
                  <c:v>0.35</c:v>
                </c:pt>
                <c:pt idx="34">
                  <c:v>0.15</c:v>
                </c:pt>
                <c:pt idx="35">
                  <c:v>0.27</c:v>
                </c:pt>
                <c:pt idx="36">
                  <c:v>0.09</c:v>
                </c:pt>
                <c:pt idx="37">
                  <c:v>0.4</c:v>
                </c:pt>
                <c:pt idx="38">
                  <c:v>0.16</c:v>
                </c:pt>
                <c:pt idx="39">
                  <c:v>0.24</c:v>
                </c:pt>
                <c:pt idx="40">
                  <c:v>0.11</c:v>
                </c:pt>
                <c:pt idx="41">
                  <c:v>0.3</c:v>
                </c:pt>
                <c:pt idx="42">
                  <c:v>7.0000000000000007E-2</c:v>
                </c:pt>
                <c:pt idx="43">
                  <c:v>0.39</c:v>
                </c:pt>
                <c:pt idx="44">
                  <c:v>0.13</c:v>
                </c:pt>
                <c:pt idx="45">
                  <c:v>0.26</c:v>
                </c:pt>
                <c:pt idx="46">
                  <c:v>0.08</c:v>
                </c:pt>
                <c:pt idx="47">
                  <c:v>0.37</c:v>
                </c:pt>
                <c:pt idx="48">
                  <c:v>0.17</c:v>
                </c:pt>
                <c:pt idx="49">
                  <c:v>0.23</c:v>
                </c:pt>
                <c:pt idx="50">
                  <c:v>0.1</c:v>
                </c:pt>
                <c:pt idx="51">
                  <c:v>0.28999999999999998</c:v>
                </c:pt>
                <c:pt idx="52">
                  <c:v>0.06</c:v>
                </c:pt>
                <c:pt idx="53">
                  <c:v>0.35</c:v>
                </c:pt>
                <c:pt idx="54">
                  <c:v>0.15</c:v>
                </c:pt>
                <c:pt idx="55">
                  <c:v>0.27</c:v>
                </c:pt>
                <c:pt idx="56">
                  <c:v>0.09</c:v>
                </c:pt>
                <c:pt idx="57">
                  <c:v>0.4</c:v>
                </c:pt>
                <c:pt idx="58">
                  <c:v>0.16</c:v>
                </c:pt>
                <c:pt idx="59">
                  <c:v>0.24</c:v>
                </c:pt>
                <c:pt idx="60">
                  <c:v>0.11</c:v>
                </c:pt>
                <c:pt idx="61">
                  <c:v>0.3</c:v>
                </c:pt>
                <c:pt idx="62">
                  <c:v>7.0000000000000007E-2</c:v>
                </c:pt>
                <c:pt idx="63">
                  <c:v>0.39</c:v>
                </c:pt>
                <c:pt idx="64">
                  <c:v>0.13</c:v>
                </c:pt>
                <c:pt idx="65">
                  <c:v>0.26</c:v>
                </c:pt>
                <c:pt idx="66">
                  <c:v>0.08</c:v>
                </c:pt>
                <c:pt idx="67">
                  <c:v>0.37</c:v>
                </c:pt>
                <c:pt idx="68">
                  <c:v>0.17</c:v>
                </c:pt>
                <c:pt idx="69">
                  <c:v>0.23</c:v>
                </c:pt>
                <c:pt idx="70">
                  <c:v>0.1</c:v>
                </c:pt>
                <c:pt idx="71">
                  <c:v>0.28999999999999998</c:v>
                </c:pt>
                <c:pt idx="72">
                  <c:v>0.06</c:v>
                </c:pt>
                <c:pt idx="73">
                  <c:v>0.35</c:v>
                </c:pt>
                <c:pt idx="74">
                  <c:v>0.15</c:v>
                </c:pt>
                <c:pt idx="75">
                  <c:v>0.27</c:v>
                </c:pt>
                <c:pt idx="76">
                  <c:v>0.09</c:v>
                </c:pt>
                <c:pt idx="77">
                  <c:v>0.4</c:v>
                </c:pt>
                <c:pt idx="78">
                  <c:v>0.16</c:v>
                </c:pt>
                <c:pt idx="79">
                  <c:v>0.24</c:v>
                </c:pt>
                <c:pt idx="80">
                  <c:v>0.11</c:v>
                </c:pt>
                <c:pt idx="81">
                  <c:v>0.3</c:v>
                </c:pt>
                <c:pt idx="82">
                  <c:v>7.0000000000000007E-2</c:v>
                </c:pt>
                <c:pt idx="83">
                  <c:v>0.39</c:v>
                </c:pt>
                <c:pt idx="84">
                  <c:v>0.13</c:v>
                </c:pt>
                <c:pt idx="85">
                  <c:v>0.26</c:v>
                </c:pt>
                <c:pt idx="86">
                  <c:v>0.08</c:v>
                </c:pt>
                <c:pt idx="87">
                  <c:v>0.37</c:v>
                </c:pt>
                <c:pt idx="88">
                  <c:v>0.17</c:v>
                </c:pt>
                <c:pt idx="89">
                  <c:v>0.23</c:v>
                </c:pt>
                <c:pt idx="90">
                  <c:v>0.1</c:v>
                </c:pt>
                <c:pt idx="91">
                  <c:v>0.28999999999999998</c:v>
                </c:pt>
                <c:pt idx="92">
                  <c:v>0.06</c:v>
                </c:pt>
                <c:pt idx="93">
                  <c:v>0.35</c:v>
                </c:pt>
                <c:pt idx="94">
                  <c:v>0.15</c:v>
                </c:pt>
                <c:pt idx="95">
                  <c:v>0.27</c:v>
                </c:pt>
                <c:pt idx="96">
                  <c:v>0.09</c:v>
                </c:pt>
                <c:pt idx="97">
                  <c:v>0.4</c:v>
                </c:pt>
              </c:numCache>
            </c:numRef>
          </c:val>
          <c:smooth val="0"/>
          <c:extLst>
            <c:ext xmlns:c16="http://schemas.microsoft.com/office/drawing/2014/chart" uri="{C3380CC4-5D6E-409C-BE32-E72D297353CC}">
              <c16:uniqueId val="{00000000-B18D-4B37-9B19-B3BBDA263AC4}"/>
            </c:ext>
          </c:extLst>
        </c:ser>
        <c:ser>
          <c:idx val="1"/>
          <c:order val="1"/>
          <c:tx>
            <c:strRef>
              <c:f>'Visual Representation'!$D$2</c:f>
              <c:strCache>
                <c:ptCount val="1"/>
                <c:pt idx="0">
                  <c:v>Debt to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'Visual Representation'!$D$3:$D$100</c:f>
              <c:numCache>
                <c:formatCode>General</c:formatCode>
                <c:ptCount val="98"/>
                <c:pt idx="0">
                  <c:v>0.25</c:v>
                </c:pt>
                <c:pt idx="1">
                  <c:v>0.35</c:v>
                </c:pt>
                <c:pt idx="2">
                  <c:v>0.18</c:v>
                </c:pt>
                <c:pt idx="3">
                  <c:v>0.42</c:v>
                </c:pt>
                <c:pt idx="4">
                  <c:v>0.3</c:v>
                </c:pt>
                <c:pt idx="5">
                  <c:v>0.27</c:v>
                </c:pt>
                <c:pt idx="6">
                  <c:v>0.22</c:v>
                </c:pt>
                <c:pt idx="7">
                  <c:v>0.45</c:v>
                </c:pt>
                <c:pt idx="8">
                  <c:v>0.28000000000000003</c:v>
                </c:pt>
                <c:pt idx="9">
                  <c:v>0.33</c:v>
                </c:pt>
                <c:pt idx="10">
                  <c:v>0.2</c:v>
                </c:pt>
                <c:pt idx="11">
                  <c:v>0.31</c:v>
                </c:pt>
                <c:pt idx="12">
                  <c:v>0.17</c:v>
                </c:pt>
                <c:pt idx="13">
                  <c:v>0.4</c:v>
                </c:pt>
                <c:pt idx="14">
                  <c:v>0.26</c:v>
                </c:pt>
                <c:pt idx="15">
                  <c:v>0.34</c:v>
                </c:pt>
                <c:pt idx="16">
                  <c:v>0.21</c:v>
                </c:pt>
                <c:pt idx="17">
                  <c:v>0.43</c:v>
                </c:pt>
                <c:pt idx="18">
                  <c:v>0.28999999999999998</c:v>
                </c:pt>
                <c:pt idx="19">
                  <c:v>0.32</c:v>
                </c:pt>
                <c:pt idx="20">
                  <c:v>0.24</c:v>
                </c:pt>
                <c:pt idx="21">
                  <c:v>0.37</c:v>
                </c:pt>
                <c:pt idx="22">
                  <c:v>0.19</c:v>
                </c:pt>
                <c:pt idx="23">
                  <c:v>0.41</c:v>
                </c:pt>
                <c:pt idx="24">
                  <c:v>0.23</c:v>
                </c:pt>
                <c:pt idx="25">
                  <c:v>0.35</c:v>
                </c:pt>
                <c:pt idx="26">
                  <c:v>0.2</c:v>
                </c:pt>
                <c:pt idx="27">
                  <c:v>0.44</c:v>
                </c:pt>
                <c:pt idx="28">
                  <c:v>0.28000000000000003</c:v>
                </c:pt>
                <c:pt idx="29">
                  <c:v>0.33</c:v>
                </c:pt>
                <c:pt idx="30">
                  <c:v>0.22</c:v>
                </c:pt>
                <c:pt idx="31">
                  <c:v>0.36</c:v>
                </c:pt>
                <c:pt idx="32">
                  <c:v>0.18</c:v>
                </c:pt>
                <c:pt idx="33">
                  <c:v>0.42</c:v>
                </c:pt>
                <c:pt idx="34">
                  <c:v>0.27</c:v>
                </c:pt>
                <c:pt idx="35">
                  <c:v>0.34</c:v>
                </c:pt>
                <c:pt idx="36">
                  <c:v>0.21</c:v>
                </c:pt>
                <c:pt idx="37">
                  <c:v>0.45</c:v>
                </c:pt>
                <c:pt idx="38">
                  <c:v>0.28999999999999998</c:v>
                </c:pt>
                <c:pt idx="39">
                  <c:v>0.32</c:v>
                </c:pt>
                <c:pt idx="40">
                  <c:v>0.24</c:v>
                </c:pt>
                <c:pt idx="41">
                  <c:v>0.37</c:v>
                </c:pt>
                <c:pt idx="42">
                  <c:v>0.19</c:v>
                </c:pt>
                <c:pt idx="43">
                  <c:v>0.41</c:v>
                </c:pt>
                <c:pt idx="44">
                  <c:v>0.23</c:v>
                </c:pt>
                <c:pt idx="45">
                  <c:v>0.35</c:v>
                </c:pt>
                <c:pt idx="46">
                  <c:v>0.2</c:v>
                </c:pt>
                <c:pt idx="47">
                  <c:v>0.44</c:v>
                </c:pt>
                <c:pt idx="48">
                  <c:v>0.28000000000000003</c:v>
                </c:pt>
                <c:pt idx="49">
                  <c:v>0.33</c:v>
                </c:pt>
                <c:pt idx="50">
                  <c:v>0.22</c:v>
                </c:pt>
                <c:pt idx="51">
                  <c:v>0.36</c:v>
                </c:pt>
                <c:pt idx="52">
                  <c:v>0.18</c:v>
                </c:pt>
                <c:pt idx="53">
                  <c:v>0.42</c:v>
                </c:pt>
                <c:pt idx="54">
                  <c:v>0.27</c:v>
                </c:pt>
                <c:pt idx="55">
                  <c:v>0.34</c:v>
                </c:pt>
                <c:pt idx="56">
                  <c:v>0.21</c:v>
                </c:pt>
                <c:pt idx="57">
                  <c:v>0.45</c:v>
                </c:pt>
                <c:pt idx="58">
                  <c:v>0.28999999999999998</c:v>
                </c:pt>
                <c:pt idx="59">
                  <c:v>0.32</c:v>
                </c:pt>
                <c:pt idx="60">
                  <c:v>0.24</c:v>
                </c:pt>
                <c:pt idx="61">
                  <c:v>0.37</c:v>
                </c:pt>
                <c:pt idx="62">
                  <c:v>0.19</c:v>
                </c:pt>
                <c:pt idx="63">
                  <c:v>0.41</c:v>
                </c:pt>
                <c:pt idx="64">
                  <c:v>0.23</c:v>
                </c:pt>
                <c:pt idx="65">
                  <c:v>0.35</c:v>
                </c:pt>
                <c:pt idx="66">
                  <c:v>0.2</c:v>
                </c:pt>
                <c:pt idx="67">
                  <c:v>0.44</c:v>
                </c:pt>
                <c:pt idx="68">
                  <c:v>0.28000000000000003</c:v>
                </c:pt>
                <c:pt idx="69">
                  <c:v>0.33</c:v>
                </c:pt>
                <c:pt idx="70">
                  <c:v>0.22</c:v>
                </c:pt>
                <c:pt idx="71">
                  <c:v>0.36</c:v>
                </c:pt>
                <c:pt idx="72">
                  <c:v>0.18</c:v>
                </c:pt>
                <c:pt idx="73">
                  <c:v>0.42</c:v>
                </c:pt>
                <c:pt idx="74">
                  <c:v>0.27</c:v>
                </c:pt>
                <c:pt idx="75">
                  <c:v>0.34</c:v>
                </c:pt>
                <c:pt idx="76">
                  <c:v>0.21</c:v>
                </c:pt>
                <c:pt idx="77">
                  <c:v>0.45</c:v>
                </c:pt>
                <c:pt idx="78">
                  <c:v>0.28999999999999998</c:v>
                </c:pt>
                <c:pt idx="79">
                  <c:v>0.32</c:v>
                </c:pt>
                <c:pt idx="80">
                  <c:v>0.24</c:v>
                </c:pt>
                <c:pt idx="81">
                  <c:v>0.37</c:v>
                </c:pt>
                <c:pt idx="82">
                  <c:v>0.19</c:v>
                </c:pt>
                <c:pt idx="83">
                  <c:v>0.41</c:v>
                </c:pt>
                <c:pt idx="84">
                  <c:v>0.23</c:v>
                </c:pt>
                <c:pt idx="85">
                  <c:v>0.35</c:v>
                </c:pt>
                <c:pt idx="86">
                  <c:v>0.2</c:v>
                </c:pt>
                <c:pt idx="87">
                  <c:v>0.44</c:v>
                </c:pt>
                <c:pt idx="88">
                  <c:v>0.28000000000000003</c:v>
                </c:pt>
                <c:pt idx="89">
                  <c:v>0.33</c:v>
                </c:pt>
                <c:pt idx="90">
                  <c:v>0.22</c:v>
                </c:pt>
                <c:pt idx="91">
                  <c:v>0.36</c:v>
                </c:pt>
                <c:pt idx="92">
                  <c:v>0.18</c:v>
                </c:pt>
                <c:pt idx="93">
                  <c:v>0.42</c:v>
                </c:pt>
                <c:pt idx="94">
                  <c:v>0.27</c:v>
                </c:pt>
                <c:pt idx="95">
                  <c:v>0.34</c:v>
                </c:pt>
                <c:pt idx="96">
                  <c:v>0.21</c:v>
                </c:pt>
                <c:pt idx="97">
                  <c:v>0.45</c:v>
                </c:pt>
              </c:numCache>
            </c:numRef>
          </c:val>
          <c:smooth val="0"/>
          <c:extLst>
            <c:ext xmlns:c16="http://schemas.microsoft.com/office/drawing/2014/chart" uri="{C3380CC4-5D6E-409C-BE32-E72D297353CC}">
              <c16:uniqueId val="{00000001-B18D-4B37-9B19-B3BBDA263AC4}"/>
            </c:ext>
          </c:extLst>
        </c:ser>
        <c:dLbls>
          <c:showLegendKey val="0"/>
          <c:showVal val="0"/>
          <c:showCatName val="0"/>
          <c:showSerName val="0"/>
          <c:showPercent val="0"/>
          <c:showBubbleSize val="0"/>
        </c:dLbls>
        <c:marker val="1"/>
        <c:smooth val="0"/>
        <c:axId val="1224931695"/>
        <c:axId val="1224942735"/>
      </c:lineChart>
      <c:catAx>
        <c:axId val="1224931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42735"/>
        <c:crosses val="autoZero"/>
        <c:auto val="1"/>
        <c:lblAlgn val="ctr"/>
        <c:lblOffset val="100"/>
        <c:noMultiLvlLbl val="0"/>
      </c:catAx>
      <c:valAx>
        <c:axId val="122494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31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609298</xdr:colOff>
      <xdr:row>11</xdr:row>
      <xdr:rowOff>170542</xdr:rowOff>
    </xdr:from>
    <xdr:to>
      <xdr:col>12</xdr:col>
      <xdr:colOff>325059</xdr:colOff>
      <xdr:row>24</xdr:row>
      <xdr:rowOff>173868</xdr:rowOff>
    </xdr:to>
    <xdr:graphicFrame macro="">
      <xdr:nvGraphicFramePr>
        <xdr:cNvPr id="4" name="Chart 3">
          <a:extLst>
            <a:ext uri="{FF2B5EF4-FFF2-40B4-BE49-F238E27FC236}">
              <a16:creationId xmlns:a16="http://schemas.microsoft.com/office/drawing/2014/main" id="{E74D1A1F-64D5-CCA1-638E-117B96B39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4281</xdr:colOff>
      <xdr:row>80</xdr:row>
      <xdr:rowOff>1855</xdr:rowOff>
    </xdr:from>
    <xdr:to>
      <xdr:col>8</xdr:col>
      <xdr:colOff>381000</xdr:colOff>
      <xdr:row>94</xdr:row>
      <xdr:rowOff>147977</xdr:rowOff>
    </xdr:to>
    <xdr:graphicFrame macro="">
      <xdr:nvGraphicFramePr>
        <xdr:cNvPr id="11" name="Chart 10">
          <a:extLst>
            <a:ext uri="{FF2B5EF4-FFF2-40B4-BE49-F238E27FC236}">
              <a16:creationId xmlns:a16="http://schemas.microsoft.com/office/drawing/2014/main" id="{F319DCE0-B6D4-8853-DB27-22AA26ADE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1:E99" totalsRowShown="0" headerRowDxfId="29" dataDxfId="27" headerRowBorderDxfId="28" tableBorderDxfId="26" totalsRowBorderDxfId="25">
  <autoFilter ref="A1:E99"/>
  <tableColumns count="5">
    <tableColumn id="1" name="Credit_Score" dataDxfId="24"/>
    <tableColumn id="2" name="Debt_to_Income" dataDxfId="23"/>
    <tableColumn id="3" name="Loan_Amount" dataDxfId="22"/>
    <tableColumn id="4" name="Employment_Years" dataDxfId="21"/>
    <tableColumn id="5" name="Default_Probability" dataDxfId="20"/>
  </tableColumns>
  <tableStyleInfo showFirstColumn="0" showLastColumn="0" showRowStripes="1" showColumnStripes="0"/>
</table>
</file>

<file path=xl/tables/table2.xml><?xml version="1.0" encoding="utf-8"?>
<table xmlns="http://schemas.openxmlformats.org/spreadsheetml/2006/main" id="2" name="Table13" displayName="Table13" ref="B2:F100" totalsRowShown="0" headerRowDxfId="9" dataDxfId="8" headerRowBorderDxfId="6" tableBorderDxfId="7" totalsRowBorderDxfId="5">
  <autoFilter ref="B2:F100"/>
  <tableColumns count="5">
    <tableColumn id="1" name="Credit_Score (x1)" dataDxfId="4"/>
    <tableColumn id="2" name="Debt_to_Income (x2)" dataDxfId="3"/>
    <tableColumn id="3" name="Loan_Amount" dataDxfId="2"/>
    <tableColumn id="4" name="Employment_Years" dataDxfId="1"/>
    <tableColumn id="5" name="Default_Probability (y)" dataDxfId="0"/>
  </tableColumns>
  <tableStyleInfo showFirstColumn="0" showLastColumn="0" showRowStripes="1" showColumnStripes="0"/>
</table>
</file>

<file path=xl/tables/table3.xml><?xml version="1.0" encoding="utf-8"?>
<table xmlns="http://schemas.openxmlformats.org/spreadsheetml/2006/main" id="3" name="Table14" displayName="Table14" ref="B4:F102" totalsRowShown="0" headerRowDxfId="10" dataDxfId="11" headerRowBorderDxfId="18" tableBorderDxfId="19" totalsRowBorderDxfId="17">
  <autoFilter ref="B4:F102"/>
  <tableColumns count="5">
    <tableColumn id="1" name="Credit_Score" dataDxfId="16"/>
    <tableColumn id="2" name="Debt_to_Income" dataDxfId="15"/>
    <tableColumn id="3" name="Loan_Amount" dataDxfId="14"/>
    <tableColumn id="4" name="Employment_Years" dataDxfId="13"/>
    <tableColumn id="5" name="Default_Probability" dataDxfId="1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783210-DACC-466A-BA10-F39E0AB8B9CA}">
  <we:reference id="wa104379190" version="2.0.0.0" store="en-US" storeType="omex"/>
  <we:alternateReferences>
    <we:reference id="wa104379190" version="2.0.0.0" store="en-US" storeType="omex"/>
  </we:alternateReferences>
  <we:properties/>
  <we:bindings>
    <we:binding id="RangeSelect" type="matrix" appref="{6194B26B-6EEA-47AA-A7E1-BF7FDDED5D48}"/>
    <we:binding id="InputY" type="matrix" appref="{12425B9C-C6C4-4BD9-8D7A-B701923C30F6}"/>
    <we:binding id="InputX" type="matrix" appref="{044143CA-B1FB-45AE-A3D2-8FE62111CC89}"/>
    <we:binding id="Output" type="matrix" appref="{076BA8F0-0693-4A4A-B6C7-43C94AD322B6}"/>
  </we:bindings>
  <we:snapshot xmlns:r="http://schemas.openxmlformats.org/officeDocument/2006/relationships"/>
  <we:extLst>
    <a:ext xmlns:a="http://schemas.openxmlformats.org/drawingml/2006/main" uri="{D87F86FE-615C-45B5-9D79-34F1136793EB}">
      <we:containsCustomFunctions xml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
  <sheetViews>
    <sheetView workbookViewId="0">
      <selection activeCell="L11" sqref="L11"/>
    </sheetView>
  </sheetViews>
  <sheetFormatPr defaultRowHeight="14.4" x14ac:dyDescent="0.3"/>
  <cols>
    <col min="1" max="1" width="15.6640625" bestFit="1" customWidth="1"/>
    <col min="2" max="2" width="18.88671875" bestFit="1" customWidth="1"/>
    <col min="3" max="3" width="16.44140625" bestFit="1" customWidth="1"/>
    <col min="4" max="4" width="21.88671875" bestFit="1" customWidth="1"/>
    <col min="5" max="5" width="21.109375" bestFit="1" customWidth="1"/>
  </cols>
  <sheetData>
    <row r="1" spans="1:5" x14ac:dyDescent="0.3">
      <c r="A1" s="4" t="s">
        <v>0</v>
      </c>
      <c r="B1" s="5" t="s">
        <v>1</v>
      </c>
      <c r="C1" s="5" t="s">
        <v>2</v>
      </c>
      <c r="D1" s="5" t="s">
        <v>3</v>
      </c>
      <c r="E1" s="6" t="s">
        <v>4</v>
      </c>
    </row>
    <row r="2" spans="1:5" x14ac:dyDescent="0.3">
      <c r="A2" s="2">
        <v>720</v>
      </c>
      <c r="B2" s="1">
        <v>0.25</v>
      </c>
      <c r="C2" s="1">
        <v>15000</v>
      </c>
      <c r="D2" s="1">
        <v>5</v>
      </c>
      <c r="E2" s="3">
        <v>0.12</v>
      </c>
    </row>
    <row r="3" spans="1:5" x14ac:dyDescent="0.3">
      <c r="A3" s="2">
        <v>650</v>
      </c>
      <c r="B3" s="1">
        <v>0.35</v>
      </c>
      <c r="C3" s="1">
        <v>25000</v>
      </c>
      <c r="D3" s="1">
        <v>3</v>
      </c>
      <c r="E3" s="3">
        <v>0.28000000000000003</v>
      </c>
    </row>
    <row r="4" spans="1:5" x14ac:dyDescent="0.3">
      <c r="A4" s="2">
        <v>780</v>
      </c>
      <c r="B4" s="1">
        <v>0.18</v>
      </c>
      <c r="C4" s="1">
        <v>10000</v>
      </c>
      <c r="D4" s="1">
        <v>8</v>
      </c>
      <c r="E4" s="3">
        <v>0.05</v>
      </c>
    </row>
    <row r="5" spans="1:5" x14ac:dyDescent="0.3">
      <c r="A5" s="2">
        <v>620</v>
      </c>
      <c r="B5" s="1">
        <v>0.42</v>
      </c>
      <c r="C5" s="1">
        <v>30000</v>
      </c>
      <c r="D5" s="1">
        <v>2</v>
      </c>
      <c r="E5" s="3">
        <v>0.35</v>
      </c>
    </row>
    <row r="6" spans="1:5" x14ac:dyDescent="0.3">
      <c r="A6" s="2">
        <v>700</v>
      </c>
      <c r="B6" s="1">
        <v>0.3</v>
      </c>
      <c r="C6" s="1">
        <v>20000</v>
      </c>
      <c r="D6" s="1">
        <v>6</v>
      </c>
      <c r="E6" s="3">
        <v>0.15</v>
      </c>
    </row>
    <row r="7" spans="1:5" x14ac:dyDescent="0.3">
      <c r="A7" s="2">
        <v>680</v>
      </c>
      <c r="B7" s="1">
        <v>0.27</v>
      </c>
      <c r="C7" s="1">
        <v>18000</v>
      </c>
      <c r="D7" s="1">
        <v>4</v>
      </c>
      <c r="E7" s="3">
        <v>0.2</v>
      </c>
    </row>
    <row r="8" spans="1:5" x14ac:dyDescent="0.3">
      <c r="A8" s="2">
        <v>740</v>
      </c>
      <c r="B8" s="1">
        <v>0.22</v>
      </c>
      <c r="C8" s="1">
        <v>12000</v>
      </c>
      <c r="D8" s="1">
        <v>7</v>
      </c>
      <c r="E8" s="3">
        <v>0.1</v>
      </c>
    </row>
    <row r="9" spans="1:5" x14ac:dyDescent="0.3">
      <c r="A9" s="2">
        <v>600</v>
      </c>
      <c r="B9" s="1">
        <v>0.45</v>
      </c>
      <c r="C9" s="1">
        <v>35000</v>
      </c>
      <c r="D9" s="1">
        <v>1</v>
      </c>
      <c r="E9" s="3">
        <v>0.4</v>
      </c>
    </row>
    <row r="10" spans="1:5" x14ac:dyDescent="0.3">
      <c r="A10" s="2">
        <v>710</v>
      </c>
      <c r="B10" s="1">
        <v>0.28000000000000003</v>
      </c>
      <c r="C10" s="1">
        <v>17000</v>
      </c>
      <c r="D10" s="1">
        <v>5</v>
      </c>
      <c r="E10" s="3">
        <v>0.18</v>
      </c>
    </row>
    <row r="11" spans="1:5" x14ac:dyDescent="0.3">
      <c r="A11" s="2">
        <v>660</v>
      </c>
      <c r="B11" s="1">
        <v>0.33</v>
      </c>
      <c r="C11" s="1">
        <v>22000</v>
      </c>
      <c r="D11" s="1">
        <v>3</v>
      </c>
      <c r="E11" s="3">
        <v>0.25</v>
      </c>
    </row>
    <row r="12" spans="1:5" x14ac:dyDescent="0.3">
      <c r="A12" s="2">
        <v>730</v>
      </c>
      <c r="B12" s="1">
        <v>0.2</v>
      </c>
      <c r="C12" s="1">
        <v>14000</v>
      </c>
      <c r="D12" s="1">
        <v>9</v>
      </c>
      <c r="E12" s="3">
        <v>0.08</v>
      </c>
    </row>
    <row r="13" spans="1:5" x14ac:dyDescent="0.3">
      <c r="A13" s="2">
        <v>690</v>
      </c>
      <c r="B13" s="1">
        <v>0.31</v>
      </c>
      <c r="C13" s="1">
        <v>26000</v>
      </c>
      <c r="D13" s="1">
        <v>4</v>
      </c>
      <c r="E13" s="3">
        <v>0.22</v>
      </c>
    </row>
    <row r="14" spans="1:5" x14ac:dyDescent="0.3">
      <c r="A14" s="2">
        <v>750</v>
      </c>
      <c r="B14" s="1">
        <v>0.17</v>
      </c>
      <c r="C14" s="1">
        <v>11000</v>
      </c>
      <c r="D14" s="1">
        <v>10</v>
      </c>
      <c r="E14" s="3">
        <v>0.06</v>
      </c>
    </row>
    <row r="15" spans="1:5" x14ac:dyDescent="0.3">
      <c r="A15" s="2">
        <v>610</v>
      </c>
      <c r="B15" s="1">
        <v>0.4</v>
      </c>
      <c r="C15" s="1">
        <v>32000</v>
      </c>
      <c r="D15" s="1">
        <v>2</v>
      </c>
      <c r="E15" s="3">
        <v>0.38</v>
      </c>
    </row>
    <row r="16" spans="1:5" x14ac:dyDescent="0.3">
      <c r="A16" s="2">
        <v>720</v>
      </c>
      <c r="B16" s="1">
        <v>0.26</v>
      </c>
      <c r="C16" s="1">
        <v>16000</v>
      </c>
      <c r="D16" s="1">
        <v>6</v>
      </c>
      <c r="E16" s="3">
        <v>0.14000000000000001</v>
      </c>
    </row>
    <row r="17" spans="1:5" x14ac:dyDescent="0.3">
      <c r="A17" s="2">
        <v>670</v>
      </c>
      <c r="B17" s="1">
        <v>0.34</v>
      </c>
      <c r="C17" s="1">
        <v>24000</v>
      </c>
      <c r="D17" s="1">
        <v>3</v>
      </c>
      <c r="E17" s="3">
        <v>0.27</v>
      </c>
    </row>
    <row r="18" spans="1:5" x14ac:dyDescent="0.3">
      <c r="A18" s="2">
        <v>740</v>
      </c>
      <c r="B18" s="1">
        <v>0.21</v>
      </c>
      <c r="C18" s="1">
        <v>13000</v>
      </c>
      <c r="D18" s="1">
        <v>8</v>
      </c>
      <c r="E18" s="3">
        <v>0.09</v>
      </c>
    </row>
    <row r="19" spans="1:5" x14ac:dyDescent="0.3">
      <c r="A19" s="2">
        <v>630</v>
      </c>
      <c r="B19" s="1">
        <v>0.43</v>
      </c>
      <c r="C19" s="1">
        <v>31000</v>
      </c>
      <c r="D19" s="1">
        <v>1</v>
      </c>
      <c r="E19" s="3">
        <v>0.36</v>
      </c>
    </row>
    <row r="20" spans="1:5" x14ac:dyDescent="0.3">
      <c r="A20" s="2">
        <v>700</v>
      </c>
      <c r="B20" s="1">
        <v>0.28999999999999998</v>
      </c>
      <c r="C20" s="1">
        <v>19000</v>
      </c>
      <c r="D20" s="1">
        <v>5</v>
      </c>
      <c r="E20" s="3">
        <v>0.16</v>
      </c>
    </row>
    <row r="21" spans="1:5" x14ac:dyDescent="0.3">
      <c r="A21" s="2">
        <v>680</v>
      </c>
      <c r="B21" s="1">
        <v>0.32</v>
      </c>
      <c r="C21" s="1">
        <v>23000</v>
      </c>
      <c r="D21" s="1">
        <v>4</v>
      </c>
      <c r="E21" s="3">
        <v>0.24</v>
      </c>
    </row>
    <row r="22" spans="1:5" x14ac:dyDescent="0.3">
      <c r="A22" s="2">
        <v>710</v>
      </c>
      <c r="B22" s="1">
        <v>0.24</v>
      </c>
      <c r="C22" s="1">
        <v>15000</v>
      </c>
      <c r="D22" s="1">
        <v>7</v>
      </c>
      <c r="E22" s="3">
        <v>0.11</v>
      </c>
    </row>
    <row r="23" spans="1:5" x14ac:dyDescent="0.3">
      <c r="A23" s="2">
        <v>650</v>
      </c>
      <c r="B23" s="1">
        <v>0.37</v>
      </c>
      <c r="C23" s="1">
        <v>27000</v>
      </c>
      <c r="D23" s="1">
        <v>2</v>
      </c>
      <c r="E23" s="3">
        <v>0.3</v>
      </c>
    </row>
    <row r="24" spans="1:5" x14ac:dyDescent="0.3">
      <c r="A24" s="2">
        <v>760</v>
      </c>
      <c r="B24" s="1">
        <v>0.19</v>
      </c>
      <c r="C24" s="1">
        <v>12000</v>
      </c>
      <c r="D24" s="1">
        <v>9</v>
      </c>
      <c r="E24" s="3">
        <v>7.0000000000000007E-2</v>
      </c>
    </row>
    <row r="25" spans="1:5" x14ac:dyDescent="0.3">
      <c r="A25" s="2">
        <v>620</v>
      </c>
      <c r="B25" s="1">
        <v>0.41</v>
      </c>
      <c r="C25" s="1">
        <v>34000</v>
      </c>
      <c r="D25" s="1">
        <v>1</v>
      </c>
      <c r="E25" s="3">
        <v>0.39</v>
      </c>
    </row>
    <row r="26" spans="1:5" x14ac:dyDescent="0.3">
      <c r="A26" s="2">
        <v>730</v>
      </c>
      <c r="B26" s="1">
        <v>0.23</v>
      </c>
      <c r="C26" s="1">
        <v>14000</v>
      </c>
      <c r="D26" s="1">
        <v>6</v>
      </c>
      <c r="E26" s="3">
        <v>0.13</v>
      </c>
    </row>
    <row r="27" spans="1:5" x14ac:dyDescent="0.3">
      <c r="A27" s="2">
        <v>670</v>
      </c>
      <c r="B27" s="1">
        <v>0.35</v>
      </c>
      <c r="C27" s="1">
        <v>25000</v>
      </c>
      <c r="D27" s="1">
        <v>3</v>
      </c>
      <c r="E27" s="3">
        <v>0.26</v>
      </c>
    </row>
    <row r="28" spans="1:5" x14ac:dyDescent="0.3">
      <c r="A28" s="2">
        <v>740</v>
      </c>
      <c r="B28" s="1">
        <v>0.2</v>
      </c>
      <c r="C28" s="1">
        <v>13000</v>
      </c>
      <c r="D28" s="1">
        <v>8</v>
      </c>
      <c r="E28" s="3">
        <v>0.08</v>
      </c>
    </row>
    <row r="29" spans="1:5" x14ac:dyDescent="0.3">
      <c r="A29" s="2">
        <v>610</v>
      </c>
      <c r="B29" s="1">
        <v>0.44</v>
      </c>
      <c r="C29" s="1">
        <v>33000</v>
      </c>
      <c r="D29" s="1">
        <v>2</v>
      </c>
      <c r="E29" s="3">
        <v>0.37</v>
      </c>
    </row>
    <row r="30" spans="1:5" x14ac:dyDescent="0.3">
      <c r="A30" s="2">
        <v>700</v>
      </c>
      <c r="B30" s="1">
        <v>0.28000000000000003</v>
      </c>
      <c r="C30" s="1">
        <v>18000</v>
      </c>
      <c r="D30" s="1">
        <v>5</v>
      </c>
      <c r="E30" s="3">
        <v>0.17</v>
      </c>
    </row>
    <row r="31" spans="1:5" x14ac:dyDescent="0.3">
      <c r="A31" s="2">
        <v>680</v>
      </c>
      <c r="B31" s="1">
        <v>0.33</v>
      </c>
      <c r="C31" s="1">
        <v>22000</v>
      </c>
      <c r="D31" s="1">
        <v>4</v>
      </c>
      <c r="E31" s="3">
        <v>0.23</v>
      </c>
    </row>
    <row r="32" spans="1:5" x14ac:dyDescent="0.3">
      <c r="A32" s="2">
        <v>720</v>
      </c>
      <c r="B32" s="1">
        <v>0.22</v>
      </c>
      <c r="C32" s="1">
        <v>16000</v>
      </c>
      <c r="D32" s="1">
        <v>7</v>
      </c>
      <c r="E32" s="3">
        <v>0.1</v>
      </c>
    </row>
    <row r="33" spans="1:5" x14ac:dyDescent="0.3">
      <c r="A33" s="2">
        <v>660</v>
      </c>
      <c r="B33" s="1">
        <v>0.36</v>
      </c>
      <c r="C33" s="1">
        <v>26000</v>
      </c>
      <c r="D33" s="1">
        <v>3</v>
      </c>
      <c r="E33" s="3">
        <v>0.28999999999999998</v>
      </c>
    </row>
    <row r="34" spans="1:5" x14ac:dyDescent="0.3">
      <c r="A34" s="2">
        <v>750</v>
      </c>
      <c r="B34" s="1">
        <v>0.18</v>
      </c>
      <c r="C34" s="1">
        <v>11000</v>
      </c>
      <c r="D34" s="1">
        <v>10</v>
      </c>
      <c r="E34" s="3">
        <v>0.06</v>
      </c>
    </row>
    <row r="35" spans="1:5" x14ac:dyDescent="0.3">
      <c r="A35" s="2">
        <v>630</v>
      </c>
      <c r="B35" s="1">
        <v>0.42</v>
      </c>
      <c r="C35" s="1">
        <v>31000</v>
      </c>
      <c r="D35" s="1">
        <v>1</v>
      </c>
      <c r="E35" s="3">
        <v>0.35</v>
      </c>
    </row>
    <row r="36" spans="1:5" x14ac:dyDescent="0.3">
      <c r="A36" s="2">
        <v>710</v>
      </c>
      <c r="B36" s="1">
        <v>0.27</v>
      </c>
      <c r="C36" s="1">
        <v>17000</v>
      </c>
      <c r="D36" s="1">
        <v>5</v>
      </c>
      <c r="E36" s="3">
        <v>0.15</v>
      </c>
    </row>
    <row r="37" spans="1:5" x14ac:dyDescent="0.3">
      <c r="A37" s="2">
        <v>670</v>
      </c>
      <c r="B37" s="1">
        <v>0.34</v>
      </c>
      <c r="C37" s="1">
        <v>24000</v>
      </c>
      <c r="D37" s="1">
        <v>3</v>
      </c>
      <c r="E37" s="3">
        <v>0.27</v>
      </c>
    </row>
    <row r="38" spans="1:5" x14ac:dyDescent="0.3">
      <c r="A38" s="2">
        <v>740</v>
      </c>
      <c r="B38" s="1">
        <v>0.21</v>
      </c>
      <c r="C38" s="1">
        <v>13000</v>
      </c>
      <c r="D38" s="1">
        <v>8</v>
      </c>
      <c r="E38" s="3">
        <v>0.09</v>
      </c>
    </row>
    <row r="39" spans="1:5" x14ac:dyDescent="0.3">
      <c r="A39" s="2">
        <v>620</v>
      </c>
      <c r="B39" s="1">
        <v>0.45</v>
      </c>
      <c r="C39" s="1">
        <v>35000</v>
      </c>
      <c r="D39" s="1">
        <v>2</v>
      </c>
      <c r="E39" s="3">
        <v>0.4</v>
      </c>
    </row>
    <row r="40" spans="1:5" x14ac:dyDescent="0.3">
      <c r="A40" s="2">
        <v>700</v>
      </c>
      <c r="B40" s="1">
        <v>0.28999999999999998</v>
      </c>
      <c r="C40" s="1">
        <v>19000</v>
      </c>
      <c r="D40" s="1">
        <v>5</v>
      </c>
      <c r="E40" s="3">
        <v>0.16</v>
      </c>
    </row>
    <row r="41" spans="1:5" x14ac:dyDescent="0.3">
      <c r="A41" s="2">
        <v>680</v>
      </c>
      <c r="B41" s="1">
        <v>0.32</v>
      </c>
      <c r="C41" s="1">
        <v>23000</v>
      </c>
      <c r="D41" s="1">
        <v>4</v>
      </c>
      <c r="E41" s="3">
        <v>0.24</v>
      </c>
    </row>
    <row r="42" spans="1:5" x14ac:dyDescent="0.3">
      <c r="A42" s="2">
        <v>710</v>
      </c>
      <c r="B42" s="1">
        <v>0.24</v>
      </c>
      <c r="C42" s="1">
        <v>15000</v>
      </c>
      <c r="D42" s="1">
        <v>7</v>
      </c>
      <c r="E42" s="3">
        <v>0.11</v>
      </c>
    </row>
    <row r="43" spans="1:5" x14ac:dyDescent="0.3">
      <c r="A43" s="2">
        <v>650</v>
      </c>
      <c r="B43" s="1">
        <v>0.37</v>
      </c>
      <c r="C43" s="1">
        <v>27000</v>
      </c>
      <c r="D43" s="1">
        <v>2</v>
      </c>
      <c r="E43" s="3">
        <v>0.3</v>
      </c>
    </row>
    <row r="44" spans="1:5" x14ac:dyDescent="0.3">
      <c r="A44" s="2">
        <v>760</v>
      </c>
      <c r="B44" s="1">
        <v>0.19</v>
      </c>
      <c r="C44" s="1">
        <v>12000</v>
      </c>
      <c r="D44" s="1">
        <v>9</v>
      </c>
      <c r="E44" s="3">
        <v>7.0000000000000007E-2</v>
      </c>
    </row>
    <row r="45" spans="1:5" x14ac:dyDescent="0.3">
      <c r="A45" s="2">
        <v>620</v>
      </c>
      <c r="B45" s="1">
        <v>0.41</v>
      </c>
      <c r="C45" s="1">
        <v>34000</v>
      </c>
      <c r="D45" s="1">
        <v>1</v>
      </c>
      <c r="E45" s="3">
        <v>0.39</v>
      </c>
    </row>
    <row r="46" spans="1:5" x14ac:dyDescent="0.3">
      <c r="A46" s="2">
        <v>730</v>
      </c>
      <c r="B46" s="1">
        <v>0.23</v>
      </c>
      <c r="C46" s="1">
        <v>14000</v>
      </c>
      <c r="D46" s="1">
        <v>6</v>
      </c>
      <c r="E46" s="3">
        <v>0.13</v>
      </c>
    </row>
    <row r="47" spans="1:5" x14ac:dyDescent="0.3">
      <c r="A47" s="2">
        <v>670</v>
      </c>
      <c r="B47" s="1">
        <v>0.35</v>
      </c>
      <c r="C47" s="1">
        <v>25000</v>
      </c>
      <c r="D47" s="1">
        <v>3</v>
      </c>
      <c r="E47" s="3">
        <v>0.26</v>
      </c>
    </row>
    <row r="48" spans="1:5" x14ac:dyDescent="0.3">
      <c r="A48" s="2">
        <v>740</v>
      </c>
      <c r="B48" s="1">
        <v>0.2</v>
      </c>
      <c r="C48" s="1">
        <v>13000</v>
      </c>
      <c r="D48" s="1">
        <v>8</v>
      </c>
      <c r="E48" s="3">
        <v>0.08</v>
      </c>
    </row>
    <row r="49" spans="1:5" x14ac:dyDescent="0.3">
      <c r="A49" s="2">
        <v>610</v>
      </c>
      <c r="B49" s="1">
        <v>0.44</v>
      </c>
      <c r="C49" s="1">
        <v>33000</v>
      </c>
      <c r="D49" s="1">
        <v>2</v>
      </c>
      <c r="E49" s="3">
        <v>0.37</v>
      </c>
    </row>
    <row r="50" spans="1:5" x14ac:dyDescent="0.3">
      <c r="A50" s="2">
        <v>700</v>
      </c>
      <c r="B50" s="1">
        <v>0.28000000000000003</v>
      </c>
      <c r="C50" s="1">
        <v>18000</v>
      </c>
      <c r="D50" s="1">
        <v>5</v>
      </c>
      <c r="E50" s="3">
        <v>0.17</v>
      </c>
    </row>
    <row r="51" spans="1:5" x14ac:dyDescent="0.3">
      <c r="A51" s="2">
        <v>680</v>
      </c>
      <c r="B51" s="1">
        <v>0.33</v>
      </c>
      <c r="C51" s="1">
        <v>22000</v>
      </c>
      <c r="D51" s="1">
        <v>4</v>
      </c>
      <c r="E51" s="3">
        <v>0.23</v>
      </c>
    </row>
    <row r="52" spans="1:5" x14ac:dyDescent="0.3">
      <c r="A52" s="2">
        <v>720</v>
      </c>
      <c r="B52" s="1">
        <v>0.22</v>
      </c>
      <c r="C52" s="1">
        <v>16000</v>
      </c>
      <c r="D52" s="1">
        <v>7</v>
      </c>
      <c r="E52" s="3">
        <v>0.1</v>
      </c>
    </row>
    <row r="53" spans="1:5" x14ac:dyDescent="0.3">
      <c r="A53" s="2">
        <v>660</v>
      </c>
      <c r="B53" s="1">
        <v>0.36</v>
      </c>
      <c r="C53" s="1">
        <v>26000</v>
      </c>
      <c r="D53" s="1">
        <v>3</v>
      </c>
      <c r="E53" s="3">
        <v>0.28999999999999998</v>
      </c>
    </row>
    <row r="54" spans="1:5" x14ac:dyDescent="0.3">
      <c r="A54" s="2">
        <v>750</v>
      </c>
      <c r="B54" s="1">
        <v>0.18</v>
      </c>
      <c r="C54" s="1">
        <v>11000</v>
      </c>
      <c r="D54" s="1">
        <v>10</v>
      </c>
      <c r="E54" s="3">
        <v>0.06</v>
      </c>
    </row>
    <row r="55" spans="1:5" x14ac:dyDescent="0.3">
      <c r="A55" s="2">
        <v>630</v>
      </c>
      <c r="B55" s="1">
        <v>0.42</v>
      </c>
      <c r="C55" s="1">
        <v>31000</v>
      </c>
      <c r="D55" s="1">
        <v>1</v>
      </c>
      <c r="E55" s="3">
        <v>0.35</v>
      </c>
    </row>
    <row r="56" spans="1:5" x14ac:dyDescent="0.3">
      <c r="A56" s="2">
        <v>710</v>
      </c>
      <c r="B56" s="1">
        <v>0.27</v>
      </c>
      <c r="C56" s="1">
        <v>17000</v>
      </c>
      <c r="D56" s="1">
        <v>5</v>
      </c>
      <c r="E56" s="3">
        <v>0.15</v>
      </c>
    </row>
    <row r="57" spans="1:5" x14ac:dyDescent="0.3">
      <c r="A57" s="2">
        <v>670</v>
      </c>
      <c r="B57" s="1">
        <v>0.34</v>
      </c>
      <c r="C57" s="1">
        <v>24000</v>
      </c>
      <c r="D57" s="1">
        <v>3</v>
      </c>
      <c r="E57" s="3">
        <v>0.27</v>
      </c>
    </row>
    <row r="58" spans="1:5" x14ac:dyDescent="0.3">
      <c r="A58" s="2">
        <v>740</v>
      </c>
      <c r="B58" s="1">
        <v>0.21</v>
      </c>
      <c r="C58" s="1">
        <v>13000</v>
      </c>
      <c r="D58" s="1">
        <v>8</v>
      </c>
      <c r="E58" s="3">
        <v>0.09</v>
      </c>
    </row>
    <row r="59" spans="1:5" x14ac:dyDescent="0.3">
      <c r="A59" s="2">
        <v>620</v>
      </c>
      <c r="B59" s="1">
        <v>0.45</v>
      </c>
      <c r="C59" s="1">
        <v>35000</v>
      </c>
      <c r="D59" s="1">
        <v>2</v>
      </c>
      <c r="E59" s="3">
        <v>0.4</v>
      </c>
    </row>
    <row r="60" spans="1:5" x14ac:dyDescent="0.3">
      <c r="A60" s="2">
        <v>700</v>
      </c>
      <c r="B60" s="1">
        <v>0.28999999999999998</v>
      </c>
      <c r="C60" s="1">
        <v>19000</v>
      </c>
      <c r="D60" s="1">
        <v>5</v>
      </c>
      <c r="E60" s="3">
        <v>0.16</v>
      </c>
    </row>
    <row r="61" spans="1:5" x14ac:dyDescent="0.3">
      <c r="A61" s="2">
        <v>680</v>
      </c>
      <c r="B61" s="1">
        <v>0.32</v>
      </c>
      <c r="C61" s="1">
        <v>23000</v>
      </c>
      <c r="D61" s="1">
        <v>4</v>
      </c>
      <c r="E61" s="3">
        <v>0.24</v>
      </c>
    </row>
    <row r="62" spans="1:5" x14ac:dyDescent="0.3">
      <c r="A62" s="2">
        <v>710</v>
      </c>
      <c r="B62" s="1">
        <v>0.24</v>
      </c>
      <c r="C62" s="1">
        <v>15000</v>
      </c>
      <c r="D62" s="1">
        <v>7</v>
      </c>
      <c r="E62" s="3">
        <v>0.11</v>
      </c>
    </row>
    <row r="63" spans="1:5" x14ac:dyDescent="0.3">
      <c r="A63" s="2">
        <v>650</v>
      </c>
      <c r="B63" s="1">
        <v>0.37</v>
      </c>
      <c r="C63" s="1">
        <v>27000</v>
      </c>
      <c r="D63" s="1">
        <v>2</v>
      </c>
      <c r="E63" s="3">
        <v>0.3</v>
      </c>
    </row>
    <row r="64" spans="1:5" x14ac:dyDescent="0.3">
      <c r="A64" s="2">
        <v>760</v>
      </c>
      <c r="B64" s="1">
        <v>0.19</v>
      </c>
      <c r="C64" s="1">
        <v>12000</v>
      </c>
      <c r="D64" s="1">
        <v>9</v>
      </c>
      <c r="E64" s="3">
        <v>7.0000000000000007E-2</v>
      </c>
    </row>
    <row r="65" spans="1:5" x14ac:dyDescent="0.3">
      <c r="A65" s="2">
        <v>620</v>
      </c>
      <c r="B65" s="1">
        <v>0.41</v>
      </c>
      <c r="C65" s="1">
        <v>34000</v>
      </c>
      <c r="D65" s="1">
        <v>1</v>
      </c>
      <c r="E65" s="3">
        <v>0.39</v>
      </c>
    </row>
    <row r="66" spans="1:5" x14ac:dyDescent="0.3">
      <c r="A66" s="2">
        <v>730</v>
      </c>
      <c r="B66" s="1">
        <v>0.23</v>
      </c>
      <c r="C66" s="1">
        <v>14000</v>
      </c>
      <c r="D66" s="1">
        <v>6</v>
      </c>
      <c r="E66" s="3">
        <v>0.13</v>
      </c>
    </row>
    <row r="67" spans="1:5" x14ac:dyDescent="0.3">
      <c r="A67" s="2">
        <v>670</v>
      </c>
      <c r="B67" s="1">
        <v>0.35</v>
      </c>
      <c r="C67" s="1">
        <v>25000</v>
      </c>
      <c r="D67" s="1">
        <v>3</v>
      </c>
      <c r="E67" s="3">
        <v>0.26</v>
      </c>
    </row>
    <row r="68" spans="1:5" x14ac:dyDescent="0.3">
      <c r="A68" s="2">
        <v>740</v>
      </c>
      <c r="B68" s="1">
        <v>0.2</v>
      </c>
      <c r="C68" s="1">
        <v>13000</v>
      </c>
      <c r="D68" s="1">
        <v>8</v>
      </c>
      <c r="E68" s="3">
        <v>0.08</v>
      </c>
    </row>
    <row r="69" spans="1:5" x14ac:dyDescent="0.3">
      <c r="A69" s="2">
        <v>610</v>
      </c>
      <c r="B69" s="1">
        <v>0.44</v>
      </c>
      <c r="C69" s="1">
        <v>33000</v>
      </c>
      <c r="D69" s="1">
        <v>2</v>
      </c>
      <c r="E69" s="3">
        <v>0.37</v>
      </c>
    </row>
    <row r="70" spans="1:5" x14ac:dyDescent="0.3">
      <c r="A70" s="2">
        <v>700</v>
      </c>
      <c r="B70" s="1">
        <v>0.28000000000000003</v>
      </c>
      <c r="C70" s="1">
        <v>18000</v>
      </c>
      <c r="D70" s="1">
        <v>5</v>
      </c>
      <c r="E70" s="3">
        <v>0.17</v>
      </c>
    </row>
    <row r="71" spans="1:5" x14ac:dyDescent="0.3">
      <c r="A71" s="2">
        <v>680</v>
      </c>
      <c r="B71" s="1">
        <v>0.33</v>
      </c>
      <c r="C71" s="1">
        <v>22000</v>
      </c>
      <c r="D71" s="1">
        <v>4</v>
      </c>
      <c r="E71" s="3">
        <v>0.23</v>
      </c>
    </row>
    <row r="72" spans="1:5" x14ac:dyDescent="0.3">
      <c r="A72" s="2">
        <v>720</v>
      </c>
      <c r="B72" s="1">
        <v>0.22</v>
      </c>
      <c r="C72" s="1">
        <v>16000</v>
      </c>
      <c r="D72" s="1">
        <v>7</v>
      </c>
      <c r="E72" s="3">
        <v>0.1</v>
      </c>
    </row>
    <row r="73" spans="1:5" x14ac:dyDescent="0.3">
      <c r="A73" s="2">
        <v>660</v>
      </c>
      <c r="B73" s="1">
        <v>0.36</v>
      </c>
      <c r="C73" s="1">
        <v>26000</v>
      </c>
      <c r="D73" s="1">
        <v>3</v>
      </c>
      <c r="E73" s="3">
        <v>0.28999999999999998</v>
      </c>
    </row>
    <row r="74" spans="1:5" x14ac:dyDescent="0.3">
      <c r="A74" s="2">
        <v>750</v>
      </c>
      <c r="B74" s="1">
        <v>0.18</v>
      </c>
      <c r="C74" s="1">
        <v>11000</v>
      </c>
      <c r="D74" s="1">
        <v>10</v>
      </c>
      <c r="E74" s="3">
        <v>0.06</v>
      </c>
    </row>
    <row r="75" spans="1:5" x14ac:dyDescent="0.3">
      <c r="A75" s="2">
        <v>630</v>
      </c>
      <c r="B75" s="1">
        <v>0.42</v>
      </c>
      <c r="C75" s="1">
        <v>31000</v>
      </c>
      <c r="D75" s="1">
        <v>1</v>
      </c>
      <c r="E75" s="3">
        <v>0.35</v>
      </c>
    </row>
    <row r="76" spans="1:5" x14ac:dyDescent="0.3">
      <c r="A76" s="2">
        <v>710</v>
      </c>
      <c r="B76" s="1">
        <v>0.27</v>
      </c>
      <c r="C76" s="1">
        <v>17000</v>
      </c>
      <c r="D76" s="1">
        <v>5</v>
      </c>
      <c r="E76" s="3">
        <v>0.15</v>
      </c>
    </row>
    <row r="77" spans="1:5" x14ac:dyDescent="0.3">
      <c r="A77" s="2">
        <v>670</v>
      </c>
      <c r="B77" s="1">
        <v>0.34</v>
      </c>
      <c r="C77" s="1">
        <v>24000</v>
      </c>
      <c r="D77" s="1">
        <v>3</v>
      </c>
      <c r="E77" s="3">
        <v>0.27</v>
      </c>
    </row>
    <row r="78" spans="1:5" x14ac:dyDescent="0.3">
      <c r="A78" s="2">
        <v>740</v>
      </c>
      <c r="B78" s="1">
        <v>0.21</v>
      </c>
      <c r="C78" s="1">
        <v>13000</v>
      </c>
      <c r="D78" s="1">
        <v>8</v>
      </c>
      <c r="E78" s="3">
        <v>0.09</v>
      </c>
    </row>
    <row r="79" spans="1:5" x14ac:dyDescent="0.3">
      <c r="A79" s="2">
        <v>620</v>
      </c>
      <c r="B79" s="1">
        <v>0.45</v>
      </c>
      <c r="C79" s="1">
        <v>35000</v>
      </c>
      <c r="D79" s="1">
        <v>2</v>
      </c>
      <c r="E79" s="3">
        <v>0.4</v>
      </c>
    </row>
    <row r="80" spans="1:5" x14ac:dyDescent="0.3">
      <c r="A80" s="2">
        <v>700</v>
      </c>
      <c r="B80" s="1">
        <v>0.28999999999999998</v>
      </c>
      <c r="C80" s="1">
        <v>19000</v>
      </c>
      <c r="D80" s="1">
        <v>5</v>
      </c>
      <c r="E80" s="3">
        <v>0.16</v>
      </c>
    </row>
    <row r="81" spans="1:5" x14ac:dyDescent="0.3">
      <c r="A81" s="2">
        <v>680</v>
      </c>
      <c r="B81" s="1">
        <v>0.32</v>
      </c>
      <c r="C81" s="1">
        <v>23000</v>
      </c>
      <c r="D81" s="1">
        <v>4</v>
      </c>
      <c r="E81" s="3">
        <v>0.24</v>
      </c>
    </row>
    <row r="82" spans="1:5" x14ac:dyDescent="0.3">
      <c r="A82" s="2">
        <v>710</v>
      </c>
      <c r="B82" s="1">
        <v>0.24</v>
      </c>
      <c r="C82" s="1">
        <v>15000</v>
      </c>
      <c r="D82" s="1">
        <v>7</v>
      </c>
      <c r="E82" s="3">
        <v>0.11</v>
      </c>
    </row>
    <row r="83" spans="1:5" x14ac:dyDescent="0.3">
      <c r="A83" s="2">
        <v>650</v>
      </c>
      <c r="B83" s="1">
        <v>0.37</v>
      </c>
      <c r="C83" s="1">
        <v>27000</v>
      </c>
      <c r="D83" s="1">
        <v>2</v>
      </c>
      <c r="E83" s="3">
        <v>0.3</v>
      </c>
    </row>
    <row r="84" spans="1:5" x14ac:dyDescent="0.3">
      <c r="A84" s="2">
        <v>760</v>
      </c>
      <c r="B84" s="1">
        <v>0.19</v>
      </c>
      <c r="C84" s="1">
        <v>12000</v>
      </c>
      <c r="D84" s="1">
        <v>9</v>
      </c>
      <c r="E84" s="3">
        <v>7.0000000000000007E-2</v>
      </c>
    </row>
    <row r="85" spans="1:5" x14ac:dyDescent="0.3">
      <c r="A85" s="2">
        <v>620</v>
      </c>
      <c r="B85" s="1">
        <v>0.41</v>
      </c>
      <c r="C85" s="1">
        <v>34000</v>
      </c>
      <c r="D85" s="1">
        <v>1</v>
      </c>
      <c r="E85" s="3">
        <v>0.39</v>
      </c>
    </row>
    <row r="86" spans="1:5" x14ac:dyDescent="0.3">
      <c r="A86" s="2">
        <v>730</v>
      </c>
      <c r="B86" s="1">
        <v>0.23</v>
      </c>
      <c r="C86" s="1">
        <v>14000</v>
      </c>
      <c r="D86" s="1">
        <v>6</v>
      </c>
      <c r="E86" s="3">
        <v>0.13</v>
      </c>
    </row>
    <row r="87" spans="1:5" x14ac:dyDescent="0.3">
      <c r="A87" s="2">
        <v>670</v>
      </c>
      <c r="B87" s="1">
        <v>0.35</v>
      </c>
      <c r="C87" s="1">
        <v>25000</v>
      </c>
      <c r="D87" s="1">
        <v>3</v>
      </c>
      <c r="E87" s="3">
        <v>0.26</v>
      </c>
    </row>
    <row r="88" spans="1:5" x14ac:dyDescent="0.3">
      <c r="A88" s="2">
        <v>740</v>
      </c>
      <c r="B88" s="1">
        <v>0.2</v>
      </c>
      <c r="C88" s="1">
        <v>13000</v>
      </c>
      <c r="D88" s="1">
        <v>8</v>
      </c>
      <c r="E88" s="3">
        <v>0.08</v>
      </c>
    </row>
    <row r="89" spans="1:5" x14ac:dyDescent="0.3">
      <c r="A89" s="2">
        <v>610</v>
      </c>
      <c r="B89" s="1">
        <v>0.44</v>
      </c>
      <c r="C89" s="1">
        <v>33000</v>
      </c>
      <c r="D89" s="1">
        <v>2</v>
      </c>
      <c r="E89" s="3">
        <v>0.37</v>
      </c>
    </row>
    <row r="90" spans="1:5" x14ac:dyDescent="0.3">
      <c r="A90" s="2">
        <v>700</v>
      </c>
      <c r="B90" s="1">
        <v>0.28000000000000003</v>
      </c>
      <c r="C90" s="1">
        <v>18000</v>
      </c>
      <c r="D90" s="1">
        <v>5</v>
      </c>
      <c r="E90" s="3">
        <v>0.17</v>
      </c>
    </row>
    <row r="91" spans="1:5" x14ac:dyDescent="0.3">
      <c r="A91" s="2">
        <v>680</v>
      </c>
      <c r="B91" s="1">
        <v>0.33</v>
      </c>
      <c r="C91" s="1">
        <v>22000</v>
      </c>
      <c r="D91" s="1">
        <v>4</v>
      </c>
      <c r="E91" s="3">
        <v>0.23</v>
      </c>
    </row>
    <row r="92" spans="1:5" x14ac:dyDescent="0.3">
      <c r="A92" s="2">
        <v>720</v>
      </c>
      <c r="B92" s="1">
        <v>0.22</v>
      </c>
      <c r="C92" s="1">
        <v>16000</v>
      </c>
      <c r="D92" s="1">
        <v>7</v>
      </c>
      <c r="E92" s="3">
        <v>0.1</v>
      </c>
    </row>
    <row r="93" spans="1:5" x14ac:dyDescent="0.3">
      <c r="A93" s="2">
        <v>660</v>
      </c>
      <c r="B93" s="1">
        <v>0.36</v>
      </c>
      <c r="C93" s="1">
        <v>26000</v>
      </c>
      <c r="D93" s="1">
        <v>3</v>
      </c>
      <c r="E93" s="3">
        <v>0.28999999999999998</v>
      </c>
    </row>
    <row r="94" spans="1:5" x14ac:dyDescent="0.3">
      <c r="A94" s="2">
        <v>750</v>
      </c>
      <c r="B94" s="1">
        <v>0.18</v>
      </c>
      <c r="C94" s="1">
        <v>11000</v>
      </c>
      <c r="D94" s="1">
        <v>10</v>
      </c>
      <c r="E94" s="3">
        <v>0.06</v>
      </c>
    </row>
    <row r="95" spans="1:5" x14ac:dyDescent="0.3">
      <c r="A95" s="2">
        <v>630</v>
      </c>
      <c r="B95" s="1">
        <v>0.42</v>
      </c>
      <c r="C95" s="1">
        <v>31000</v>
      </c>
      <c r="D95" s="1">
        <v>1</v>
      </c>
      <c r="E95" s="3">
        <v>0.35</v>
      </c>
    </row>
    <row r="96" spans="1:5" x14ac:dyDescent="0.3">
      <c r="A96" s="2">
        <v>710</v>
      </c>
      <c r="B96" s="1">
        <v>0.27</v>
      </c>
      <c r="C96" s="1">
        <v>17000</v>
      </c>
      <c r="D96" s="1">
        <v>5</v>
      </c>
      <c r="E96" s="3">
        <v>0.15</v>
      </c>
    </row>
    <row r="97" spans="1:5" x14ac:dyDescent="0.3">
      <c r="A97" s="2">
        <v>670</v>
      </c>
      <c r="B97" s="1">
        <v>0.34</v>
      </c>
      <c r="C97" s="1">
        <v>24000</v>
      </c>
      <c r="D97" s="1">
        <v>3</v>
      </c>
      <c r="E97" s="3">
        <v>0.27</v>
      </c>
    </row>
    <row r="98" spans="1:5" x14ac:dyDescent="0.3">
      <c r="A98" s="2">
        <v>740</v>
      </c>
      <c r="B98" s="1">
        <v>0.21</v>
      </c>
      <c r="C98" s="1">
        <v>13000</v>
      </c>
      <c r="D98" s="1">
        <v>8</v>
      </c>
      <c r="E98" s="3">
        <v>0.09</v>
      </c>
    </row>
    <row r="99" spans="1:5" x14ac:dyDescent="0.3">
      <c r="A99" s="7">
        <v>620</v>
      </c>
      <c r="B99" s="8">
        <v>0.45</v>
      </c>
      <c r="C99" s="8">
        <v>35000</v>
      </c>
      <c r="D99" s="8">
        <v>2</v>
      </c>
      <c r="E99" s="9">
        <v>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100"/>
  <sheetViews>
    <sheetView showGridLines="0" zoomScale="89" zoomScaleNormal="89" workbookViewId="0">
      <selection activeCell="F2" sqref="F2"/>
    </sheetView>
  </sheetViews>
  <sheetFormatPr defaultRowHeight="18" x14ac:dyDescent="0.35"/>
  <cols>
    <col min="1" max="1" width="8.88671875" style="49"/>
    <col min="2" max="2" width="18.33203125" style="49" bestFit="1" customWidth="1"/>
    <col min="3" max="3" width="26.44140625" style="49" bestFit="1" customWidth="1"/>
    <col min="4" max="4" width="22.21875" style="49" bestFit="1" customWidth="1"/>
    <col min="5" max="5" width="19.44140625" style="49" bestFit="1" customWidth="1"/>
    <col min="6" max="6" width="27.33203125" style="49" bestFit="1" customWidth="1"/>
    <col min="7" max="7" width="8.88671875" style="49"/>
    <col min="8" max="8" width="31.88671875" style="49" bestFit="1" customWidth="1"/>
    <col min="9" max="9" width="18.5546875" style="49" bestFit="1" customWidth="1"/>
    <col min="10" max="10" width="8.88671875" style="49"/>
    <col min="11" max="12" width="7.88671875" style="49" customWidth="1"/>
    <col min="13" max="13" width="17.5546875" style="49" bestFit="1" customWidth="1"/>
    <col min="14" max="14" width="8.88671875" style="49"/>
    <col min="15" max="15" width="14.109375" style="49" bestFit="1" customWidth="1"/>
    <col min="16" max="16384" width="8.88671875" style="49"/>
  </cols>
  <sheetData>
    <row r="2" spans="2:15" x14ac:dyDescent="0.35">
      <c r="B2" s="76" t="s">
        <v>5</v>
      </c>
      <c r="C2" s="76" t="s">
        <v>6</v>
      </c>
      <c r="D2" s="76" t="s">
        <v>7</v>
      </c>
      <c r="E2" s="76" t="s">
        <v>8</v>
      </c>
      <c r="F2" s="76" t="s">
        <v>9</v>
      </c>
      <c r="H2" s="75" t="s">
        <v>10</v>
      </c>
    </row>
    <row r="3" spans="2:15" x14ac:dyDescent="0.35">
      <c r="B3" s="76">
        <v>720</v>
      </c>
      <c r="C3" s="77">
        <v>0.12</v>
      </c>
      <c r="D3" s="76">
        <v>0.25</v>
      </c>
      <c r="E3" s="76">
        <v>15000</v>
      </c>
      <c r="F3" s="76">
        <v>5</v>
      </c>
      <c r="H3" s="78" t="s">
        <v>11</v>
      </c>
      <c r="I3" s="30">
        <f>MAX(B3:B100)</f>
        <v>780</v>
      </c>
      <c r="K3" s="70" t="s">
        <v>12</v>
      </c>
      <c r="L3" s="70" t="s">
        <v>13</v>
      </c>
      <c r="M3" s="70" t="s">
        <v>14</v>
      </c>
      <c r="N3" s="70" t="s">
        <v>15</v>
      </c>
      <c r="O3" s="70" t="s">
        <v>16</v>
      </c>
    </row>
    <row r="4" spans="2:15" x14ac:dyDescent="0.35">
      <c r="B4" s="76">
        <v>650</v>
      </c>
      <c r="C4" s="77">
        <v>0.28000000000000003</v>
      </c>
      <c r="D4" s="76">
        <v>0.35</v>
      </c>
      <c r="E4" s="76">
        <v>25000</v>
      </c>
      <c r="F4" s="76">
        <v>3</v>
      </c>
      <c r="H4" s="78" t="s">
        <v>17</v>
      </c>
      <c r="I4" s="30">
        <f>MIN(B3:B100)</f>
        <v>600</v>
      </c>
      <c r="K4" s="70">
        <v>600</v>
      </c>
      <c r="L4" s="70">
        <v>623</v>
      </c>
      <c r="M4" s="70" t="s">
        <v>18</v>
      </c>
      <c r="N4" s="70">
        <f>L4-1</f>
        <v>622</v>
      </c>
      <c r="O4" s="70" cm="1">
        <f t="array" ref="O4:O12">FREQUENCY(B3:B100,N4:N11)</f>
        <v>15</v>
      </c>
    </row>
    <row r="5" spans="2:15" x14ac:dyDescent="0.35">
      <c r="B5" s="76">
        <v>780</v>
      </c>
      <c r="C5" s="77">
        <v>0.05</v>
      </c>
      <c r="D5" s="76">
        <v>0.18</v>
      </c>
      <c r="E5" s="76">
        <v>10000</v>
      </c>
      <c r="F5" s="76">
        <v>8</v>
      </c>
      <c r="H5" s="78" t="s">
        <v>19</v>
      </c>
      <c r="I5" s="30">
        <f>I3-I4</f>
        <v>180</v>
      </c>
      <c r="K5" s="70">
        <v>623</v>
      </c>
      <c r="L5" s="70">
        <v>646</v>
      </c>
      <c r="M5" s="70" t="s">
        <v>20</v>
      </c>
      <c r="N5" s="70">
        <f t="shared" ref="N5:N11" si="0">L5-1</f>
        <v>645</v>
      </c>
      <c r="O5" s="70">
        <v>5</v>
      </c>
    </row>
    <row r="6" spans="2:15" x14ac:dyDescent="0.35">
      <c r="B6" s="76">
        <v>620</v>
      </c>
      <c r="C6" s="77">
        <v>0.35</v>
      </c>
      <c r="D6" s="76">
        <v>0.42</v>
      </c>
      <c r="E6" s="76">
        <v>30000</v>
      </c>
      <c r="F6" s="76">
        <v>2</v>
      </c>
      <c r="H6" s="78" t="s">
        <v>21</v>
      </c>
      <c r="I6" s="30">
        <f>COUNT(B3:B100)</f>
        <v>98</v>
      </c>
      <c r="K6" s="70">
        <v>646</v>
      </c>
      <c r="L6" s="70">
        <v>669</v>
      </c>
      <c r="M6" s="70" t="s">
        <v>22</v>
      </c>
      <c r="N6" s="70">
        <f t="shared" si="0"/>
        <v>668</v>
      </c>
      <c r="O6" s="70">
        <v>10</v>
      </c>
    </row>
    <row r="7" spans="2:15" x14ac:dyDescent="0.35">
      <c r="B7" s="76">
        <v>700</v>
      </c>
      <c r="C7" s="77">
        <v>0.15</v>
      </c>
      <c r="D7" s="76">
        <v>0.3</v>
      </c>
      <c r="E7" s="76">
        <v>20000</v>
      </c>
      <c r="F7" s="76">
        <v>6</v>
      </c>
      <c r="H7" s="78" t="s">
        <v>23</v>
      </c>
      <c r="I7" s="30">
        <f>1+3.322*LOG(I6)</f>
        <v>7.6148530234504683</v>
      </c>
      <c r="K7" s="70">
        <v>669</v>
      </c>
      <c r="L7" s="70">
        <v>692</v>
      </c>
      <c r="M7" s="70" t="s">
        <v>24</v>
      </c>
      <c r="N7" s="70">
        <f t="shared" si="0"/>
        <v>691</v>
      </c>
      <c r="O7" s="70">
        <v>19</v>
      </c>
    </row>
    <row r="8" spans="2:15" x14ac:dyDescent="0.35">
      <c r="B8" s="76">
        <v>680</v>
      </c>
      <c r="C8" s="77">
        <v>0.2</v>
      </c>
      <c r="D8" s="76">
        <v>0.27</v>
      </c>
      <c r="E8" s="76">
        <v>18000</v>
      </c>
      <c r="F8" s="76">
        <v>4</v>
      </c>
      <c r="H8" s="78" t="s">
        <v>25</v>
      </c>
      <c r="I8" s="30">
        <f>ROUND(I7,0)</f>
        <v>8</v>
      </c>
      <c r="K8" s="70">
        <v>692</v>
      </c>
      <c r="L8" s="70">
        <v>715</v>
      </c>
      <c r="M8" s="70" t="s">
        <v>26</v>
      </c>
      <c r="N8" s="70">
        <f t="shared" si="0"/>
        <v>714</v>
      </c>
      <c r="O8" s="70">
        <v>18</v>
      </c>
    </row>
    <row r="9" spans="2:15" x14ac:dyDescent="0.35">
      <c r="B9" s="76">
        <v>740</v>
      </c>
      <c r="C9" s="77">
        <v>0.1</v>
      </c>
      <c r="D9" s="76">
        <v>0.22</v>
      </c>
      <c r="E9" s="76">
        <v>12000</v>
      </c>
      <c r="F9" s="76">
        <v>7</v>
      </c>
      <c r="H9" s="78" t="s">
        <v>27</v>
      </c>
      <c r="I9" s="30">
        <f>I5/I8</f>
        <v>22.5</v>
      </c>
      <c r="K9" s="70">
        <v>715</v>
      </c>
      <c r="L9" s="70">
        <v>738</v>
      </c>
      <c r="M9" s="70" t="s">
        <v>28</v>
      </c>
      <c r="N9" s="70">
        <f t="shared" si="0"/>
        <v>737</v>
      </c>
      <c r="O9" s="70">
        <v>11</v>
      </c>
    </row>
    <row r="10" spans="2:15" x14ac:dyDescent="0.35">
      <c r="B10" s="76">
        <v>600</v>
      </c>
      <c r="C10" s="77">
        <v>0.4</v>
      </c>
      <c r="D10" s="76">
        <v>0.45</v>
      </c>
      <c r="E10" s="76">
        <v>35000</v>
      </c>
      <c r="F10" s="76">
        <v>1</v>
      </c>
      <c r="H10" s="78" t="s">
        <v>25</v>
      </c>
      <c r="I10" s="30">
        <f>ROUND(I9,0)</f>
        <v>23</v>
      </c>
      <c r="K10" s="70">
        <v>738</v>
      </c>
      <c r="L10" s="70">
        <v>761</v>
      </c>
      <c r="M10" s="70" t="s">
        <v>29</v>
      </c>
      <c r="N10" s="70">
        <f t="shared" si="0"/>
        <v>760</v>
      </c>
      <c r="O10" s="70">
        <v>19</v>
      </c>
    </row>
    <row r="11" spans="2:15" x14ac:dyDescent="0.35">
      <c r="B11" s="76">
        <v>710</v>
      </c>
      <c r="C11" s="77">
        <v>0.18</v>
      </c>
      <c r="D11" s="76">
        <v>0.28000000000000003</v>
      </c>
      <c r="E11" s="76">
        <v>17000</v>
      </c>
      <c r="F11" s="76">
        <v>5</v>
      </c>
      <c r="K11" s="70">
        <v>761</v>
      </c>
      <c r="L11" s="70">
        <v>784</v>
      </c>
      <c r="M11" s="70" t="s">
        <v>30</v>
      </c>
      <c r="N11" s="70">
        <f t="shared" si="0"/>
        <v>783</v>
      </c>
      <c r="O11" s="73">
        <v>1</v>
      </c>
    </row>
    <row r="12" spans="2:15" x14ac:dyDescent="0.35">
      <c r="B12" s="76">
        <v>660</v>
      </c>
      <c r="C12" s="77">
        <v>0.25</v>
      </c>
      <c r="D12" s="76">
        <v>0.33</v>
      </c>
      <c r="E12" s="76">
        <v>22000</v>
      </c>
      <c r="F12" s="76">
        <v>3</v>
      </c>
      <c r="O12" s="79">
        <v>0</v>
      </c>
    </row>
    <row r="13" spans="2:15" x14ac:dyDescent="0.35">
      <c r="B13" s="76">
        <v>730</v>
      </c>
      <c r="C13" s="77">
        <v>0.08</v>
      </c>
      <c r="D13" s="76">
        <v>0.2</v>
      </c>
      <c r="E13" s="76">
        <v>14000</v>
      </c>
      <c r="F13" s="76">
        <v>9</v>
      </c>
    </row>
    <row r="14" spans="2:15" x14ac:dyDescent="0.35">
      <c r="B14" s="76">
        <v>690</v>
      </c>
      <c r="C14" s="77">
        <v>0.22</v>
      </c>
      <c r="D14" s="76">
        <v>0.31</v>
      </c>
      <c r="E14" s="76">
        <v>26000</v>
      </c>
      <c r="F14" s="76">
        <v>4</v>
      </c>
    </row>
    <row r="15" spans="2:15" x14ac:dyDescent="0.35">
      <c r="B15" s="76">
        <v>750</v>
      </c>
      <c r="C15" s="77">
        <v>0.06</v>
      </c>
      <c r="D15" s="76">
        <v>0.17</v>
      </c>
      <c r="E15" s="76">
        <v>11000</v>
      </c>
      <c r="F15" s="76">
        <v>10</v>
      </c>
    </row>
    <row r="16" spans="2:15" x14ac:dyDescent="0.35">
      <c r="B16" s="76">
        <v>610</v>
      </c>
      <c r="C16" s="77">
        <v>0.38</v>
      </c>
      <c r="D16" s="76">
        <v>0.4</v>
      </c>
      <c r="E16" s="76">
        <v>32000</v>
      </c>
      <c r="F16" s="76">
        <v>2</v>
      </c>
    </row>
    <row r="17" spans="2:8" x14ac:dyDescent="0.35">
      <c r="B17" s="76">
        <v>720</v>
      </c>
      <c r="C17" s="77">
        <v>0.14000000000000001</v>
      </c>
      <c r="D17" s="76">
        <v>0.26</v>
      </c>
      <c r="E17" s="76">
        <v>16000</v>
      </c>
      <c r="F17" s="76">
        <v>6</v>
      </c>
    </row>
    <row r="18" spans="2:8" x14ac:dyDescent="0.35">
      <c r="B18" s="76">
        <v>670</v>
      </c>
      <c r="C18" s="77">
        <v>0.27</v>
      </c>
      <c r="D18" s="76">
        <v>0.34</v>
      </c>
      <c r="E18" s="76">
        <v>24000</v>
      </c>
      <c r="F18" s="76">
        <v>3</v>
      </c>
    </row>
    <row r="19" spans="2:8" x14ac:dyDescent="0.35">
      <c r="B19" s="76">
        <v>740</v>
      </c>
      <c r="C19" s="77">
        <v>0.09</v>
      </c>
      <c r="D19" s="76">
        <v>0.21</v>
      </c>
      <c r="E19" s="76">
        <v>13000</v>
      </c>
      <c r="F19" s="76">
        <v>8</v>
      </c>
    </row>
    <row r="20" spans="2:8" x14ac:dyDescent="0.35">
      <c r="B20" s="76">
        <v>630</v>
      </c>
      <c r="C20" s="77">
        <v>0.36</v>
      </c>
      <c r="D20" s="76">
        <v>0.43</v>
      </c>
      <c r="E20" s="76">
        <v>31000</v>
      </c>
      <c r="F20" s="76">
        <v>1</v>
      </c>
    </row>
    <row r="21" spans="2:8" x14ac:dyDescent="0.35">
      <c r="B21" s="76">
        <v>700</v>
      </c>
      <c r="C21" s="77">
        <v>0.16</v>
      </c>
      <c r="D21" s="76">
        <v>0.28999999999999998</v>
      </c>
      <c r="E21" s="76">
        <v>19000</v>
      </c>
      <c r="F21" s="76">
        <v>5</v>
      </c>
    </row>
    <row r="22" spans="2:8" x14ac:dyDescent="0.35">
      <c r="B22" s="76">
        <v>680</v>
      </c>
      <c r="C22" s="77">
        <v>0.24</v>
      </c>
      <c r="D22" s="76">
        <v>0.32</v>
      </c>
      <c r="E22" s="76">
        <v>23000</v>
      </c>
      <c r="F22" s="76">
        <v>4</v>
      </c>
    </row>
    <row r="23" spans="2:8" x14ac:dyDescent="0.35">
      <c r="B23" s="76">
        <v>710</v>
      </c>
      <c r="C23" s="77">
        <v>0.11</v>
      </c>
      <c r="D23" s="76">
        <v>0.24</v>
      </c>
      <c r="E23" s="76">
        <v>15000</v>
      </c>
      <c r="F23" s="76">
        <v>7</v>
      </c>
    </row>
    <row r="24" spans="2:8" x14ac:dyDescent="0.35">
      <c r="B24" s="76">
        <v>650</v>
      </c>
      <c r="C24" s="77">
        <v>0.3</v>
      </c>
      <c r="D24" s="76">
        <v>0.37</v>
      </c>
      <c r="E24" s="76">
        <v>27000</v>
      </c>
      <c r="F24" s="76">
        <v>2</v>
      </c>
    </row>
    <row r="25" spans="2:8" x14ac:dyDescent="0.35">
      <c r="B25" s="76">
        <v>760</v>
      </c>
      <c r="C25" s="77">
        <v>7.0000000000000007E-2</v>
      </c>
      <c r="D25" s="76">
        <v>0.19</v>
      </c>
      <c r="E25" s="76">
        <v>12000</v>
      </c>
      <c r="F25" s="76">
        <v>9</v>
      </c>
    </row>
    <row r="26" spans="2:8" x14ac:dyDescent="0.35">
      <c r="B26" s="76">
        <v>620</v>
      </c>
      <c r="C26" s="77">
        <v>0.39</v>
      </c>
      <c r="D26" s="76">
        <v>0.41</v>
      </c>
      <c r="E26" s="76">
        <v>34000</v>
      </c>
      <c r="F26" s="76">
        <v>1</v>
      </c>
    </row>
    <row r="27" spans="2:8" x14ac:dyDescent="0.35">
      <c r="B27" s="76">
        <v>730</v>
      </c>
      <c r="C27" s="77">
        <v>0.13</v>
      </c>
      <c r="D27" s="76">
        <v>0.23</v>
      </c>
      <c r="E27" s="76">
        <v>14000</v>
      </c>
      <c r="F27" s="76">
        <v>6</v>
      </c>
    </row>
    <row r="28" spans="2:8" x14ac:dyDescent="0.35">
      <c r="B28" s="76">
        <v>670</v>
      </c>
      <c r="C28" s="77">
        <v>0.26</v>
      </c>
      <c r="D28" s="76">
        <v>0.35</v>
      </c>
      <c r="E28" s="76">
        <v>25000</v>
      </c>
      <c r="F28" s="76">
        <v>3</v>
      </c>
      <c r="H28" s="80"/>
    </row>
    <row r="29" spans="2:8" x14ac:dyDescent="0.35">
      <c r="B29" s="76">
        <v>740</v>
      </c>
      <c r="C29" s="77">
        <v>0.08</v>
      </c>
      <c r="D29" s="76">
        <v>0.2</v>
      </c>
      <c r="E29" s="76">
        <v>13000</v>
      </c>
      <c r="F29" s="76">
        <v>8</v>
      </c>
    </row>
    <row r="30" spans="2:8" x14ac:dyDescent="0.35">
      <c r="B30" s="76">
        <v>610</v>
      </c>
      <c r="C30" s="77">
        <v>0.37</v>
      </c>
      <c r="D30" s="76">
        <v>0.44</v>
      </c>
      <c r="E30" s="76">
        <v>33000</v>
      </c>
      <c r="F30" s="76">
        <v>2</v>
      </c>
    </row>
    <row r="31" spans="2:8" x14ac:dyDescent="0.35">
      <c r="B31" s="76">
        <v>700</v>
      </c>
      <c r="C31" s="77">
        <v>0.17</v>
      </c>
      <c r="D31" s="76">
        <v>0.28000000000000003</v>
      </c>
      <c r="E31" s="76">
        <v>18000</v>
      </c>
      <c r="F31" s="76">
        <v>5</v>
      </c>
    </row>
    <row r="32" spans="2:8" x14ac:dyDescent="0.35">
      <c r="B32" s="76">
        <v>680</v>
      </c>
      <c r="C32" s="77">
        <v>0.23</v>
      </c>
      <c r="D32" s="76">
        <v>0.33</v>
      </c>
      <c r="E32" s="76">
        <v>22000</v>
      </c>
      <c r="F32" s="76">
        <v>4</v>
      </c>
    </row>
    <row r="33" spans="2:6" x14ac:dyDescent="0.35">
      <c r="B33" s="76">
        <v>720</v>
      </c>
      <c r="C33" s="77">
        <v>0.1</v>
      </c>
      <c r="D33" s="76">
        <v>0.22</v>
      </c>
      <c r="E33" s="76">
        <v>16000</v>
      </c>
      <c r="F33" s="76">
        <v>7</v>
      </c>
    </row>
    <row r="34" spans="2:6" x14ac:dyDescent="0.35">
      <c r="B34" s="76">
        <v>660</v>
      </c>
      <c r="C34" s="77">
        <v>0.28999999999999998</v>
      </c>
      <c r="D34" s="76">
        <v>0.36</v>
      </c>
      <c r="E34" s="76">
        <v>26000</v>
      </c>
      <c r="F34" s="76">
        <v>3</v>
      </c>
    </row>
    <row r="35" spans="2:6" x14ac:dyDescent="0.35">
      <c r="B35" s="76">
        <v>750</v>
      </c>
      <c r="C35" s="77">
        <v>0.06</v>
      </c>
      <c r="D35" s="76">
        <v>0.18</v>
      </c>
      <c r="E35" s="76">
        <v>11000</v>
      </c>
      <c r="F35" s="76">
        <v>10</v>
      </c>
    </row>
    <row r="36" spans="2:6" x14ac:dyDescent="0.35">
      <c r="B36" s="76">
        <v>630</v>
      </c>
      <c r="C36" s="77">
        <v>0.35</v>
      </c>
      <c r="D36" s="76">
        <v>0.42</v>
      </c>
      <c r="E36" s="76">
        <v>31000</v>
      </c>
      <c r="F36" s="76">
        <v>1</v>
      </c>
    </row>
    <row r="37" spans="2:6" x14ac:dyDescent="0.35">
      <c r="B37" s="76">
        <v>710</v>
      </c>
      <c r="C37" s="77">
        <v>0.15</v>
      </c>
      <c r="D37" s="76">
        <v>0.27</v>
      </c>
      <c r="E37" s="76">
        <v>17000</v>
      </c>
      <c r="F37" s="76">
        <v>5</v>
      </c>
    </row>
    <row r="38" spans="2:6" x14ac:dyDescent="0.35">
      <c r="B38" s="76">
        <v>670</v>
      </c>
      <c r="C38" s="77">
        <v>0.27</v>
      </c>
      <c r="D38" s="76">
        <v>0.34</v>
      </c>
      <c r="E38" s="76">
        <v>24000</v>
      </c>
      <c r="F38" s="76">
        <v>3</v>
      </c>
    </row>
    <row r="39" spans="2:6" x14ac:dyDescent="0.35">
      <c r="B39" s="76">
        <v>740</v>
      </c>
      <c r="C39" s="77">
        <v>0.09</v>
      </c>
      <c r="D39" s="76">
        <v>0.21</v>
      </c>
      <c r="E39" s="76">
        <v>13000</v>
      </c>
      <c r="F39" s="76">
        <v>8</v>
      </c>
    </row>
    <row r="40" spans="2:6" x14ac:dyDescent="0.35">
      <c r="B40" s="76">
        <v>620</v>
      </c>
      <c r="C40" s="77">
        <v>0.4</v>
      </c>
      <c r="D40" s="76">
        <v>0.45</v>
      </c>
      <c r="E40" s="76">
        <v>35000</v>
      </c>
      <c r="F40" s="76">
        <v>2</v>
      </c>
    </row>
    <row r="41" spans="2:6" x14ac:dyDescent="0.35">
      <c r="B41" s="76">
        <v>700</v>
      </c>
      <c r="C41" s="77">
        <v>0.16</v>
      </c>
      <c r="D41" s="76">
        <v>0.28999999999999998</v>
      </c>
      <c r="E41" s="76">
        <v>19000</v>
      </c>
      <c r="F41" s="76">
        <v>5</v>
      </c>
    </row>
    <row r="42" spans="2:6" x14ac:dyDescent="0.35">
      <c r="B42" s="76">
        <v>680</v>
      </c>
      <c r="C42" s="77">
        <v>0.24</v>
      </c>
      <c r="D42" s="76">
        <v>0.32</v>
      </c>
      <c r="E42" s="76">
        <v>23000</v>
      </c>
      <c r="F42" s="76">
        <v>4</v>
      </c>
    </row>
    <row r="43" spans="2:6" x14ac:dyDescent="0.35">
      <c r="B43" s="76">
        <v>710</v>
      </c>
      <c r="C43" s="77">
        <v>0.11</v>
      </c>
      <c r="D43" s="76">
        <v>0.24</v>
      </c>
      <c r="E43" s="76">
        <v>15000</v>
      </c>
      <c r="F43" s="76">
        <v>7</v>
      </c>
    </row>
    <row r="44" spans="2:6" x14ac:dyDescent="0.35">
      <c r="B44" s="76">
        <v>650</v>
      </c>
      <c r="C44" s="77">
        <v>0.3</v>
      </c>
      <c r="D44" s="76">
        <v>0.37</v>
      </c>
      <c r="E44" s="76">
        <v>27000</v>
      </c>
      <c r="F44" s="76">
        <v>2</v>
      </c>
    </row>
    <row r="45" spans="2:6" x14ac:dyDescent="0.35">
      <c r="B45" s="76">
        <v>760</v>
      </c>
      <c r="C45" s="77">
        <v>7.0000000000000007E-2</v>
      </c>
      <c r="D45" s="76">
        <v>0.19</v>
      </c>
      <c r="E45" s="76">
        <v>12000</v>
      </c>
      <c r="F45" s="76">
        <v>9</v>
      </c>
    </row>
    <row r="46" spans="2:6" x14ac:dyDescent="0.35">
      <c r="B46" s="76">
        <v>620</v>
      </c>
      <c r="C46" s="77">
        <v>0.39</v>
      </c>
      <c r="D46" s="76">
        <v>0.41</v>
      </c>
      <c r="E46" s="76">
        <v>34000</v>
      </c>
      <c r="F46" s="76">
        <v>1</v>
      </c>
    </row>
    <row r="47" spans="2:6" x14ac:dyDescent="0.35">
      <c r="B47" s="76">
        <v>730</v>
      </c>
      <c r="C47" s="77">
        <v>0.13</v>
      </c>
      <c r="D47" s="76">
        <v>0.23</v>
      </c>
      <c r="E47" s="76">
        <v>14000</v>
      </c>
      <c r="F47" s="76">
        <v>6</v>
      </c>
    </row>
    <row r="48" spans="2:6" x14ac:dyDescent="0.35">
      <c r="B48" s="76">
        <v>670</v>
      </c>
      <c r="C48" s="77">
        <v>0.26</v>
      </c>
      <c r="D48" s="76">
        <v>0.35</v>
      </c>
      <c r="E48" s="76">
        <v>25000</v>
      </c>
      <c r="F48" s="76">
        <v>3</v>
      </c>
    </row>
    <row r="49" spans="2:6" x14ac:dyDescent="0.35">
      <c r="B49" s="76">
        <v>740</v>
      </c>
      <c r="C49" s="77">
        <v>0.08</v>
      </c>
      <c r="D49" s="76">
        <v>0.2</v>
      </c>
      <c r="E49" s="76">
        <v>13000</v>
      </c>
      <c r="F49" s="76">
        <v>8</v>
      </c>
    </row>
    <row r="50" spans="2:6" x14ac:dyDescent="0.35">
      <c r="B50" s="76">
        <v>610</v>
      </c>
      <c r="C50" s="77">
        <v>0.37</v>
      </c>
      <c r="D50" s="76">
        <v>0.44</v>
      </c>
      <c r="E50" s="76">
        <v>33000</v>
      </c>
      <c r="F50" s="76">
        <v>2</v>
      </c>
    </row>
    <row r="51" spans="2:6" x14ac:dyDescent="0.35">
      <c r="B51" s="76">
        <v>700</v>
      </c>
      <c r="C51" s="77">
        <v>0.17</v>
      </c>
      <c r="D51" s="76">
        <v>0.28000000000000003</v>
      </c>
      <c r="E51" s="76">
        <v>18000</v>
      </c>
      <c r="F51" s="76">
        <v>5</v>
      </c>
    </row>
    <row r="52" spans="2:6" x14ac:dyDescent="0.35">
      <c r="B52" s="76">
        <v>680</v>
      </c>
      <c r="C52" s="77">
        <v>0.23</v>
      </c>
      <c r="D52" s="76">
        <v>0.33</v>
      </c>
      <c r="E52" s="76">
        <v>22000</v>
      </c>
      <c r="F52" s="76">
        <v>4</v>
      </c>
    </row>
    <row r="53" spans="2:6" x14ac:dyDescent="0.35">
      <c r="B53" s="76">
        <v>720</v>
      </c>
      <c r="C53" s="77">
        <v>0.1</v>
      </c>
      <c r="D53" s="76">
        <v>0.22</v>
      </c>
      <c r="E53" s="76">
        <v>16000</v>
      </c>
      <c r="F53" s="76">
        <v>7</v>
      </c>
    </row>
    <row r="54" spans="2:6" x14ac:dyDescent="0.35">
      <c r="B54" s="76">
        <v>660</v>
      </c>
      <c r="C54" s="77">
        <v>0.28999999999999998</v>
      </c>
      <c r="D54" s="76">
        <v>0.36</v>
      </c>
      <c r="E54" s="76">
        <v>26000</v>
      </c>
      <c r="F54" s="76">
        <v>3</v>
      </c>
    </row>
    <row r="55" spans="2:6" x14ac:dyDescent="0.35">
      <c r="B55" s="76">
        <v>750</v>
      </c>
      <c r="C55" s="77">
        <v>0.06</v>
      </c>
      <c r="D55" s="76">
        <v>0.18</v>
      </c>
      <c r="E55" s="76">
        <v>11000</v>
      </c>
      <c r="F55" s="76">
        <v>10</v>
      </c>
    </row>
    <row r="56" spans="2:6" x14ac:dyDescent="0.35">
      <c r="B56" s="76">
        <v>630</v>
      </c>
      <c r="C56" s="77">
        <v>0.35</v>
      </c>
      <c r="D56" s="76">
        <v>0.42</v>
      </c>
      <c r="E56" s="76">
        <v>31000</v>
      </c>
      <c r="F56" s="76">
        <v>1</v>
      </c>
    </row>
    <row r="57" spans="2:6" x14ac:dyDescent="0.35">
      <c r="B57" s="76">
        <v>710</v>
      </c>
      <c r="C57" s="77">
        <v>0.15</v>
      </c>
      <c r="D57" s="76">
        <v>0.27</v>
      </c>
      <c r="E57" s="76">
        <v>17000</v>
      </c>
      <c r="F57" s="76">
        <v>5</v>
      </c>
    </row>
    <row r="58" spans="2:6" x14ac:dyDescent="0.35">
      <c r="B58" s="76">
        <v>670</v>
      </c>
      <c r="C58" s="77">
        <v>0.27</v>
      </c>
      <c r="D58" s="76">
        <v>0.34</v>
      </c>
      <c r="E58" s="76">
        <v>24000</v>
      </c>
      <c r="F58" s="76">
        <v>3</v>
      </c>
    </row>
    <row r="59" spans="2:6" x14ac:dyDescent="0.35">
      <c r="B59" s="76">
        <v>740</v>
      </c>
      <c r="C59" s="77">
        <v>0.09</v>
      </c>
      <c r="D59" s="76">
        <v>0.21</v>
      </c>
      <c r="E59" s="76">
        <v>13000</v>
      </c>
      <c r="F59" s="76">
        <v>8</v>
      </c>
    </row>
    <row r="60" spans="2:6" x14ac:dyDescent="0.35">
      <c r="B60" s="76">
        <v>620</v>
      </c>
      <c r="C60" s="77">
        <v>0.4</v>
      </c>
      <c r="D60" s="76">
        <v>0.45</v>
      </c>
      <c r="E60" s="76">
        <v>35000</v>
      </c>
      <c r="F60" s="76">
        <v>2</v>
      </c>
    </row>
    <row r="61" spans="2:6" x14ac:dyDescent="0.35">
      <c r="B61" s="76">
        <v>700</v>
      </c>
      <c r="C61" s="77">
        <v>0.16</v>
      </c>
      <c r="D61" s="76">
        <v>0.28999999999999998</v>
      </c>
      <c r="E61" s="76">
        <v>19000</v>
      </c>
      <c r="F61" s="76">
        <v>5</v>
      </c>
    </row>
    <row r="62" spans="2:6" x14ac:dyDescent="0.35">
      <c r="B62" s="76">
        <v>680</v>
      </c>
      <c r="C62" s="77">
        <v>0.24</v>
      </c>
      <c r="D62" s="76">
        <v>0.32</v>
      </c>
      <c r="E62" s="76">
        <v>23000</v>
      </c>
      <c r="F62" s="76">
        <v>4</v>
      </c>
    </row>
    <row r="63" spans="2:6" x14ac:dyDescent="0.35">
      <c r="B63" s="76">
        <v>710</v>
      </c>
      <c r="C63" s="77">
        <v>0.11</v>
      </c>
      <c r="D63" s="76">
        <v>0.24</v>
      </c>
      <c r="E63" s="76">
        <v>15000</v>
      </c>
      <c r="F63" s="76">
        <v>7</v>
      </c>
    </row>
    <row r="64" spans="2:6" x14ac:dyDescent="0.35">
      <c r="B64" s="76">
        <v>650</v>
      </c>
      <c r="C64" s="77">
        <v>0.3</v>
      </c>
      <c r="D64" s="76">
        <v>0.37</v>
      </c>
      <c r="E64" s="76">
        <v>27000</v>
      </c>
      <c r="F64" s="76">
        <v>2</v>
      </c>
    </row>
    <row r="65" spans="2:6" x14ac:dyDescent="0.35">
      <c r="B65" s="76">
        <v>760</v>
      </c>
      <c r="C65" s="77">
        <v>7.0000000000000007E-2</v>
      </c>
      <c r="D65" s="76">
        <v>0.19</v>
      </c>
      <c r="E65" s="76">
        <v>12000</v>
      </c>
      <c r="F65" s="76">
        <v>9</v>
      </c>
    </row>
    <row r="66" spans="2:6" x14ac:dyDescent="0.35">
      <c r="B66" s="76">
        <v>620</v>
      </c>
      <c r="C66" s="77">
        <v>0.39</v>
      </c>
      <c r="D66" s="76">
        <v>0.41</v>
      </c>
      <c r="E66" s="76">
        <v>34000</v>
      </c>
      <c r="F66" s="76">
        <v>1</v>
      </c>
    </row>
    <row r="67" spans="2:6" x14ac:dyDescent="0.35">
      <c r="B67" s="76">
        <v>730</v>
      </c>
      <c r="C67" s="77">
        <v>0.13</v>
      </c>
      <c r="D67" s="76">
        <v>0.23</v>
      </c>
      <c r="E67" s="76">
        <v>14000</v>
      </c>
      <c r="F67" s="76">
        <v>6</v>
      </c>
    </row>
    <row r="68" spans="2:6" x14ac:dyDescent="0.35">
      <c r="B68" s="76">
        <v>670</v>
      </c>
      <c r="C68" s="77">
        <v>0.26</v>
      </c>
      <c r="D68" s="76">
        <v>0.35</v>
      </c>
      <c r="E68" s="76">
        <v>25000</v>
      </c>
      <c r="F68" s="76">
        <v>3</v>
      </c>
    </row>
    <row r="69" spans="2:6" x14ac:dyDescent="0.35">
      <c r="B69" s="76">
        <v>740</v>
      </c>
      <c r="C69" s="77">
        <v>0.08</v>
      </c>
      <c r="D69" s="76">
        <v>0.2</v>
      </c>
      <c r="E69" s="76">
        <v>13000</v>
      </c>
      <c r="F69" s="76">
        <v>8</v>
      </c>
    </row>
    <row r="70" spans="2:6" x14ac:dyDescent="0.35">
      <c r="B70" s="76">
        <v>610</v>
      </c>
      <c r="C70" s="77">
        <v>0.37</v>
      </c>
      <c r="D70" s="76">
        <v>0.44</v>
      </c>
      <c r="E70" s="76">
        <v>33000</v>
      </c>
      <c r="F70" s="76">
        <v>2</v>
      </c>
    </row>
    <row r="71" spans="2:6" x14ac:dyDescent="0.35">
      <c r="B71" s="76">
        <v>700</v>
      </c>
      <c r="C71" s="77">
        <v>0.17</v>
      </c>
      <c r="D71" s="76">
        <v>0.28000000000000003</v>
      </c>
      <c r="E71" s="76">
        <v>18000</v>
      </c>
      <c r="F71" s="76">
        <v>5</v>
      </c>
    </row>
    <row r="72" spans="2:6" x14ac:dyDescent="0.35">
      <c r="B72" s="76">
        <v>680</v>
      </c>
      <c r="C72" s="77">
        <v>0.23</v>
      </c>
      <c r="D72" s="76">
        <v>0.33</v>
      </c>
      <c r="E72" s="76">
        <v>22000</v>
      </c>
      <c r="F72" s="76">
        <v>4</v>
      </c>
    </row>
    <row r="73" spans="2:6" x14ac:dyDescent="0.35">
      <c r="B73" s="76">
        <v>720</v>
      </c>
      <c r="C73" s="77">
        <v>0.1</v>
      </c>
      <c r="D73" s="76">
        <v>0.22</v>
      </c>
      <c r="E73" s="76">
        <v>16000</v>
      </c>
      <c r="F73" s="76">
        <v>7</v>
      </c>
    </row>
    <row r="74" spans="2:6" x14ac:dyDescent="0.35">
      <c r="B74" s="76">
        <v>660</v>
      </c>
      <c r="C74" s="77">
        <v>0.28999999999999998</v>
      </c>
      <c r="D74" s="76">
        <v>0.36</v>
      </c>
      <c r="E74" s="76">
        <v>26000</v>
      </c>
      <c r="F74" s="76">
        <v>3</v>
      </c>
    </row>
    <row r="75" spans="2:6" x14ac:dyDescent="0.35">
      <c r="B75" s="76">
        <v>750</v>
      </c>
      <c r="C75" s="77">
        <v>0.06</v>
      </c>
      <c r="D75" s="76">
        <v>0.18</v>
      </c>
      <c r="E75" s="76">
        <v>11000</v>
      </c>
      <c r="F75" s="76">
        <v>10</v>
      </c>
    </row>
    <row r="76" spans="2:6" x14ac:dyDescent="0.35">
      <c r="B76" s="76">
        <v>630</v>
      </c>
      <c r="C76" s="77">
        <v>0.35</v>
      </c>
      <c r="D76" s="76">
        <v>0.42</v>
      </c>
      <c r="E76" s="76">
        <v>31000</v>
      </c>
      <c r="F76" s="76">
        <v>1</v>
      </c>
    </row>
    <row r="77" spans="2:6" x14ac:dyDescent="0.35">
      <c r="B77" s="76">
        <v>710</v>
      </c>
      <c r="C77" s="77">
        <v>0.15</v>
      </c>
      <c r="D77" s="76">
        <v>0.27</v>
      </c>
      <c r="E77" s="76">
        <v>17000</v>
      </c>
      <c r="F77" s="76">
        <v>5</v>
      </c>
    </row>
    <row r="78" spans="2:6" x14ac:dyDescent="0.35">
      <c r="B78" s="76">
        <v>670</v>
      </c>
      <c r="C78" s="77">
        <v>0.27</v>
      </c>
      <c r="D78" s="76">
        <v>0.34</v>
      </c>
      <c r="E78" s="76">
        <v>24000</v>
      </c>
      <c r="F78" s="76">
        <v>3</v>
      </c>
    </row>
    <row r="79" spans="2:6" x14ac:dyDescent="0.35">
      <c r="B79" s="76">
        <v>740</v>
      </c>
      <c r="C79" s="77">
        <v>0.09</v>
      </c>
      <c r="D79" s="76">
        <v>0.21</v>
      </c>
      <c r="E79" s="76">
        <v>13000</v>
      </c>
      <c r="F79" s="76">
        <v>8</v>
      </c>
    </row>
    <row r="80" spans="2:6" x14ac:dyDescent="0.35">
      <c r="B80" s="76">
        <v>620</v>
      </c>
      <c r="C80" s="77">
        <v>0.4</v>
      </c>
      <c r="D80" s="76">
        <v>0.45</v>
      </c>
      <c r="E80" s="76">
        <v>35000</v>
      </c>
      <c r="F80" s="76">
        <v>2</v>
      </c>
    </row>
    <row r="81" spans="2:6" x14ac:dyDescent="0.35">
      <c r="B81" s="76">
        <v>700</v>
      </c>
      <c r="C81" s="77">
        <v>0.16</v>
      </c>
      <c r="D81" s="76">
        <v>0.28999999999999998</v>
      </c>
      <c r="E81" s="76">
        <v>19000</v>
      </c>
      <c r="F81" s="76">
        <v>5</v>
      </c>
    </row>
    <row r="82" spans="2:6" x14ac:dyDescent="0.35">
      <c r="B82" s="76">
        <v>680</v>
      </c>
      <c r="C82" s="77">
        <v>0.24</v>
      </c>
      <c r="D82" s="76">
        <v>0.32</v>
      </c>
      <c r="E82" s="76">
        <v>23000</v>
      </c>
      <c r="F82" s="76">
        <v>4</v>
      </c>
    </row>
    <row r="83" spans="2:6" x14ac:dyDescent="0.35">
      <c r="B83" s="76">
        <v>710</v>
      </c>
      <c r="C83" s="77">
        <v>0.11</v>
      </c>
      <c r="D83" s="76">
        <v>0.24</v>
      </c>
      <c r="E83" s="76">
        <v>15000</v>
      </c>
      <c r="F83" s="76">
        <v>7</v>
      </c>
    </row>
    <row r="84" spans="2:6" x14ac:dyDescent="0.35">
      <c r="B84" s="76">
        <v>650</v>
      </c>
      <c r="C84" s="77">
        <v>0.3</v>
      </c>
      <c r="D84" s="76">
        <v>0.37</v>
      </c>
      <c r="E84" s="76">
        <v>27000</v>
      </c>
      <c r="F84" s="76">
        <v>2</v>
      </c>
    </row>
    <row r="85" spans="2:6" x14ac:dyDescent="0.35">
      <c r="B85" s="76">
        <v>760</v>
      </c>
      <c r="C85" s="77">
        <v>7.0000000000000007E-2</v>
      </c>
      <c r="D85" s="76">
        <v>0.19</v>
      </c>
      <c r="E85" s="76">
        <v>12000</v>
      </c>
      <c r="F85" s="76">
        <v>9</v>
      </c>
    </row>
    <row r="86" spans="2:6" x14ac:dyDescent="0.35">
      <c r="B86" s="76">
        <v>620</v>
      </c>
      <c r="C86" s="77">
        <v>0.39</v>
      </c>
      <c r="D86" s="76">
        <v>0.41</v>
      </c>
      <c r="E86" s="76">
        <v>34000</v>
      </c>
      <c r="F86" s="76">
        <v>1</v>
      </c>
    </row>
    <row r="87" spans="2:6" x14ac:dyDescent="0.35">
      <c r="B87" s="76">
        <v>730</v>
      </c>
      <c r="C87" s="77">
        <v>0.13</v>
      </c>
      <c r="D87" s="76">
        <v>0.23</v>
      </c>
      <c r="E87" s="76">
        <v>14000</v>
      </c>
      <c r="F87" s="76">
        <v>6</v>
      </c>
    </row>
    <row r="88" spans="2:6" x14ac:dyDescent="0.35">
      <c r="B88" s="76">
        <v>670</v>
      </c>
      <c r="C88" s="77">
        <v>0.26</v>
      </c>
      <c r="D88" s="76">
        <v>0.35</v>
      </c>
      <c r="E88" s="76">
        <v>25000</v>
      </c>
      <c r="F88" s="76">
        <v>3</v>
      </c>
    </row>
    <row r="89" spans="2:6" x14ac:dyDescent="0.35">
      <c r="B89" s="76">
        <v>740</v>
      </c>
      <c r="C89" s="77">
        <v>0.08</v>
      </c>
      <c r="D89" s="76">
        <v>0.2</v>
      </c>
      <c r="E89" s="76">
        <v>13000</v>
      </c>
      <c r="F89" s="76">
        <v>8</v>
      </c>
    </row>
    <row r="90" spans="2:6" x14ac:dyDescent="0.35">
      <c r="B90" s="76">
        <v>610</v>
      </c>
      <c r="C90" s="77">
        <v>0.37</v>
      </c>
      <c r="D90" s="76">
        <v>0.44</v>
      </c>
      <c r="E90" s="76">
        <v>33000</v>
      </c>
      <c r="F90" s="76">
        <v>2</v>
      </c>
    </row>
    <row r="91" spans="2:6" x14ac:dyDescent="0.35">
      <c r="B91" s="76">
        <v>700</v>
      </c>
      <c r="C91" s="77">
        <v>0.17</v>
      </c>
      <c r="D91" s="76">
        <v>0.28000000000000003</v>
      </c>
      <c r="E91" s="76">
        <v>18000</v>
      </c>
      <c r="F91" s="76">
        <v>5</v>
      </c>
    </row>
    <row r="92" spans="2:6" x14ac:dyDescent="0.35">
      <c r="B92" s="76">
        <v>680</v>
      </c>
      <c r="C92" s="77">
        <v>0.23</v>
      </c>
      <c r="D92" s="76">
        <v>0.33</v>
      </c>
      <c r="E92" s="76">
        <v>22000</v>
      </c>
      <c r="F92" s="76">
        <v>4</v>
      </c>
    </row>
    <row r="93" spans="2:6" x14ac:dyDescent="0.35">
      <c r="B93" s="76">
        <v>720</v>
      </c>
      <c r="C93" s="77">
        <v>0.1</v>
      </c>
      <c r="D93" s="76">
        <v>0.22</v>
      </c>
      <c r="E93" s="76">
        <v>16000</v>
      </c>
      <c r="F93" s="76">
        <v>7</v>
      </c>
    </row>
    <row r="94" spans="2:6" x14ac:dyDescent="0.35">
      <c r="B94" s="76">
        <v>660</v>
      </c>
      <c r="C94" s="77">
        <v>0.28999999999999998</v>
      </c>
      <c r="D94" s="76">
        <v>0.36</v>
      </c>
      <c r="E94" s="76">
        <v>26000</v>
      </c>
      <c r="F94" s="76">
        <v>3</v>
      </c>
    </row>
    <row r="95" spans="2:6" x14ac:dyDescent="0.35">
      <c r="B95" s="76">
        <v>750</v>
      </c>
      <c r="C95" s="77">
        <v>0.06</v>
      </c>
      <c r="D95" s="76">
        <v>0.18</v>
      </c>
      <c r="E95" s="76">
        <v>11000</v>
      </c>
      <c r="F95" s="76">
        <v>10</v>
      </c>
    </row>
    <row r="96" spans="2:6" x14ac:dyDescent="0.35">
      <c r="B96" s="76">
        <v>630</v>
      </c>
      <c r="C96" s="77">
        <v>0.35</v>
      </c>
      <c r="D96" s="76">
        <v>0.42</v>
      </c>
      <c r="E96" s="76">
        <v>31000</v>
      </c>
      <c r="F96" s="76">
        <v>1</v>
      </c>
    </row>
    <row r="97" spans="2:6" x14ac:dyDescent="0.35">
      <c r="B97" s="76">
        <v>710</v>
      </c>
      <c r="C97" s="77">
        <v>0.15</v>
      </c>
      <c r="D97" s="76">
        <v>0.27</v>
      </c>
      <c r="E97" s="76">
        <v>17000</v>
      </c>
      <c r="F97" s="76">
        <v>5</v>
      </c>
    </row>
    <row r="98" spans="2:6" x14ac:dyDescent="0.35">
      <c r="B98" s="76">
        <v>670</v>
      </c>
      <c r="C98" s="77">
        <v>0.27</v>
      </c>
      <c r="D98" s="76">
        <v>0.34</v>
      </c>
      <c r="E98" s="76">
        <v>24000</v>
      </c>
      <c r="F98" s="76">
        <v>3</v>
      </c>
    </row>
    <row r="99" spans="2:6" x14ac:dyDescent="0.35">
      <c r="B99" s="76">
        <v>740</v>
      </c>
      <c r="C99" s="77">
        <v>0.09</v>
      </c>
      <c r="D99" s="76">
        <v>0.21</v>
      </c>
      <c r="E99" s="76">
        <v>13000</v>
      </c>
      <c r="F99" s="76">
        <v>8</v>
      </c>
    </row>
    <row r="100" spans="2:6" x14ac:dyDescent="0.35">
      <c r="B100" s="76">
        <v>620</v>
      </c>
      <c r="C100" s="77">
        <v>0.4</v>
      </c>
      <c r="D100" s="76">
        <v>0.45</v>
      </c>
      <c r="E100" s="76">
        <v>35000</v>
      </c>
      <c r="F100" s="76">
        <v>2</v>
      </c>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00"/>
  <sheetViews>
    <sheetView showGridLines="0" workbookViewId="0">
      <selection sqref="A1:XFD1048576"/>
    </sheetView>
  </sheetViews>
  <sheetFormatPr defaultRowHeight="18" x14ac:dyDescent="0.35"/>
  <cols>
    <col min="1" max="1" width="8.88671875" style="49"/>
    <col min="2" max="2" width="21.21875" style="49" bestFit="1" customWidth="1"/>
    <col min="3" max="3" width="25.44140625" style="49" bestFit="1" customWidth="1"/>
    <col min="4" max="4" width="17.88671875" style="49" bestFit="1" customWidth="1"/>
    <col min="5" max="5" width="23.21875" style="49" bestFit="1" customWidth="1"/>
    <col min="6" max="6" width="26.6640625" style="49" bestFit="1" customWidth="1"/>
    <col min="7" max="7" width="8.88671875" style="49"/>
    <col min="8" max="8" width="23.33203125" style="49" bestFit="1" customWidth="1"/>
    <col min="9" max="9" width="19.44140625" style="49" bestFit="1" customWidth="1"/>
    <col min="10" max="10" width="23.77734375" style="49" bestFit="1" customWidth="1"/>
    <col min="11" max="11" width="25.44140625" style="49" bestFit="1" customWidth="1"/>
    <col min="12" max="16384" width="8.88671875" style="49"/>
  </cols>
  <sheetData>
    <row r="2" spans="2:11" x14ac:dyDescent="0.35">
      <c r="B2" s="66" t="s">
        <v>31</v>
      </c>
      <c r="C2" s="67" t="s">
        <v>32</v>
      </c>
      <c r="D2" s="67" t="s">
        <v>2</v>
      </c>
      <c r="E2" s="67" t="s">
        <v>3</v>
      </c>
      <c r="F2" s="68" t="s">
        <v>33</v>
      </c>
      <c r="I2" s="69" t="s">
        <v>31</v>
      </c>
      <c r="J2" s="69" t="s">
        <v>32</v>
      </c>
      <c r="K2" s="69" t="s">
        <v>33</v>
      </c>
    </row>
    <row r="3" spans="2:11" x14ac:dyDescent="0.35">
      <c r="B3" s="51">
        <v>720</v>
      </c>
      <c r="C3" s="70">
        <v>0.25</v>
      </c>
      <c r="D3" s="70">
        <v>15000</v>
      </c>
      <c r="E3" s="70">
        <v>5</v>
      </c>
      <c r="F3" s="71">
        <v>0.12</v>
      </c>
      <c r="H3" s="61" t="s">
        <v>34</v>
      </c>
      <c r="I3" s="50">
        <f>AVERAGE(Table13[Credit_Score (x1)])</f>
        <v>687.75510204081638</v>
      </c>
      <c r="J3" s="50">
        <f>AVERAGE(Table13[Debt_to_Income (x2)])</f>
        <v>0.30377551020408161</v>
      </c>
      <c r="K3" s="50">
        <f>AVERAGE(Table13[Default_Probability (y)])</f>
        <v>0.20979591836734693</v>
      </c>
    </row>
    <row r="4" spans="2:11" x14ac:dyDescent="0.35">
      <c r="B4" s="51">
        <v>650</v>
      </c>
      <c r="C4" s="70">
        <v>0.35</v>
      </c>
      <c r="D4" s="70">
        <v>25000</v>
      </c>
      <c r="E4" s="70">
        <v>3</v>
      </c>
      <c r="F4" s="71">
        <v>0.28000000000000003</v>
      </c>
      <c r="H4" s="62"/>
      <c r="I4" s="63"/>
      <c r="J4" s="63"/>
      <c r="K4" s="63"/>
    </row>
    <row r="5" spans="2:11" x14ac:dyDescent="0.35">
      <c r="B5" s="51">
        <v>780</v>
      </c>
      <c r="C5" s="70">
        <v>0.18</v>
      </c>
      <c r="D5" s="70">
        <v>10000</v>
      </c>
      <c r="E5" s="70">
        <v>8</v>
      </c>
      <c r="F5" s="71">
        <v>0.05</v>
      </c>
      <c r="H5" s="61" t="s">
        <v>35</v>
      </c>
      <c r="I5" s="50">
        <f>MEDIAN(Table13[Credit_Score (x1)])</f>
        <v>695</v>
      </c>
      <c r="J5" s="50">
        <f>MEDIAN(Table13[Debt_to_Income (x2)])</f>
        <v>0.29499999999999998</v>
      </c>
      <c r="K5" s="50">
        <f>MEDIAN(Table13[Default_Probability (y)])</f>
        <v>0.19</v>
      </c>
    </row>
    <row r="6" spans="2:11" x14ac:dyDescent="0.35">
      <c r="B6" s="51">
        <v>620</v>
      </c>
      <c r="C6" s="65">
        <v>0.42</v>
      </c>
      <c r="D6" s="70">
        <v>30000</v>
      </c>
      <c r="E6" s="70">
        <v>2</v>
      </c>
      <c r="F6" s="71">
        <v>0.35</v>
      </c>
      <c r="H6" s="62"/>
      <c r="I6" s="63"/>
      <c r="J6" s="63"/>
      <c r="K6" s="63"/>
    </row>
    <row r="7" spans="2:11" x14ac:dyDescent="0.35">
      <c r="B7" s="51">
        <v>700</v>
      </c>
      <c r="C7" s="70">
        <v>0.3</v>
      </c>
      <c r="D7" s="70">
        <v>20000</v>
      </c>
      <c r="E7" s="70">
        <v>6</v>
      </c>
      <c r="F7" s="71">
        <v>0.15</v>
      </c>
      <c r="H7" s="61" t="s">
        <v>36</v>
      </c>
      <c r="I7" s="50">
        <f>MODE(Table13[Credit_Score (x1)])</f>
        <v>740</v>
      </c>
      <c r="J7" s="50">
        <f>MODE(Table13[Debt_to_Income (x2)])</f>
        <v>0.35</v>
      </c>
      <c r="K7" s="50">
        <f>MODE(Table13[Default_Probability (y)])</f>
        <v>0.35</v>
      </c>
    </row>
    <row r="8" spans="2:11" x14ac:dyDescent="0.35">
      <c r="B8" s="51">
        <v>680</v>
      </c>
      <c r="C8" s="70">
        <v>0.27</v>
      </c>
      <c r="D8" s="70">
        <v>18000</v>
      </c>
      <c r="E8" s="70">
        <v>4</v>
      </c>
      <c r="F8" s="71">
        <v>0.2</v>
      </c>
      <c r="H8" s="62"/>
      <c r="I8" s="63"/>
      <c r="J8" s="63"/>
      <c r="K8" s="63"/>
    </row>
    <row r="9" spans="2:11" x14ac:dyDescent="0.35">
      <c r="B9" s="51">
        <v>740</v>
      </c>
      <c r="C9" s="70">
        <v>0.22</v>
      </c>
      <c r="D9" s="70">
        <v>12000</v>
      </c>
      <c r="E9" s="70">
        <v>7</v>
      </c>
      <c r="F9" s="71">
        <v>0.1</v>
      </c>
      <c r="H9" s="61" t="s">
        <v>37</v>
      </c>
      <c r="I9" s="50">
        <f>GEOMEAN(Table13[Credit_Score (x1)])</f>
        <v>686.20059151029955</v>
      </c>
      <c r="J9" s="50">
        <f>GEOMEAN(Table13[Debt_to_Income (x2)])</f>
        <v>0.2917649404042974</v>
      </c>
      <c r="K9" s="50">
        <f>GEOMEAN(Table13[Default_Probability (y)])</f>
        <v>0.17787945149768847</v>
      </c>
    </row>
    <row r="10" spans="2:11" x14ac:dyDescent="0.35">
      <c r="B10" s="51">
        <v>600</v>
      </c>
      <c r="C10" s="70">
        <v>0.45</v>
      </c>
      <c r="D10" s="70">
        <v>35000</v>
      </c>
      <c r="E10" s="70">
        <v>1</v>
      </c>
      <c r="F10" s="71">
        <v>0.4</v>
      </c>
    </row>
    <row r="11" spans="2:11" x14ac:dyDescent="0.35">
      <c r="B11" s="51">
        <v>710</v>
      </c>
      <c r="C11" s="70">
        <v>0.28000000000000003</v>
      </c>
      <c r="D11" s="70">
        <v>17000</v>
      </c>
      <c r="E11" s="70">
        <v>5</v>
      </c>
      <c r="F11" s="71">
        <v>0.18</v>
      </c>
      <c r="H11" s="61" t="s">
        <v>38</v>
      </c>
      <c r="I11" s="63"/>
      <c r="J11" s="63"/>
      <c r="K11" s="63"/>
    </row>
    <row r="12" spans="2:11" x14ac:dyDescent="0.35">
      <c r="B12" s="51">
        <v>660</v>
      </c>
      <c r="C12" s="70">
        <v>0.33</v>
      </c>
      <c r="D12" s="70">
        <v>22000</v>
      </c>
      <c r="E12" s="70">
        <v>3</v>
      </c>
      <c r="F12" s="71">
        <v>0.25</v>
      </c>
      <c r="H12" s="64" t="s">
        <v>39</v>
      </c>
      <c r="I12" s="50">
        <f>QUARTILE(Table13[Credit_Score (x1)],1)</f>
        <v>652.5</v>
      </c>
      <c r="J12" s="50">
        <f>QUARTILE(Table13[Debt_to_Income (x2)],1)</f>
        <v>0.2225</v>
      </c>
      <c r="K12" s="50">
        <f>QUARTILE(Table13[Default_Probability (y)],1)</f>
        <v>0.10250000000000001</v>
      </c>
    </row>
    <row r="13" spans="2:11" x14ac:dyDescent="0.35">
      <c r="B13" s="51">
        <v>730</v>
      </c>
      <c r="C13" s="70">
        <v>0.2</v>
      </c>
      <c r="D13" s="70">
        <v>14000</v>
      </c>
      <c r="E13" s="70">
        <v>9</v>
      </c>
      <c r="F13" s="71">
        <v>0.08</v>
      </c>
      <c r="H13" s="64" t="s">
        <v>40</v>
      </c>
      <c r="I13" s="50">
        <f>QUARTILE(Table13[Credit_Score (x1)],2)</f>
        <v>695</v>
      </c>
      <c r="J13" s="50">
        <f>QUARTILE(Table13[Debt_to_Income (x2)],2)</f>
        <v>0.29499999999999998</v>
      </c>
      <c r="K13" s="50">
        <f>QUARTILE(Table13[Default_Probability (y)],2)</f>
        <v>0.19</v>
      </c>
    </row>
    <row r="14" spans="2:11" x14ac:dyDescent="0.35">
      <c r="B14" s="51">
        <v>690</v>
      </c>
      <c r="C14" s="70">
        <v>0.31</v>
      </c>
      <c r="D14" s="70">
        <v>26000</v>
      </c>
      <c r="E14" s="70">
        <v>4</v>
      </c>
      <c r="F14" s="71">
        <v>0.22</v>
      </c>
      <c r="H14" s="64" t="s">
        <v>41</v>
      </c>
      <c r="I14" s="50">
        <f>QUARTILE(Table13[Credit_Score (x1)],3)</f>
        <v>727.5</v>
      </c>
      <c r="J14" s="50">
        <f>QUARTILE(Table13[Debt_to_Income (x2)],3)</f>
        <v>0.36</v>
      </c>
      <c r="K14" s="50">
        <f>QUARTILE(Table13[Default_Probability (y)],3)</f>
        <v>0.28999999999999998</v>
      </c>
    </row>
    <row r="15" spans="2:11" x14ac:dyDescent="0.35">
      <c r="B15" s="51">
        <v>750</v>
      </c>
      <c r="C15" s="70">
        <v>0.17</v>
      </c>
      <c r="D15" s="70">
        <v>11000</v>
      </c>
      <c r="E15" s="70">
        <v>10</v>
      </c>
      <c r="F15" s="71">
        <v>0.06</v>
      </c>
      <c r="H15" s="64" t="s">
        <v>42</v>
      </c>
      <c r="I15" s="50">
        <f>QUARTILE(Table13[Credit_Score (x1)],4)</f>
        <v>780</v>
      </c>
      <c r="J15" s="50">
        <f>QUARTILE(Table13[Debt_to_Income (x2)],4)</f>
        <v>0.45</v>
      </c>
      <c r="K15" s="50">
        <f>QUARTILE(Table13[Default_Probability (y)],4)</f>
        <v>0.4</v>
      </c>
    </row>
    <row r="16" spans="2:11" x14ac:dyDescent="0.35">
      <c r="B16" s="51">
        <v>610</v>
      </c>
      <c r="C16" s="70">
        <v>0.4</v>
      </c>
      <c r="D16" s="70">
        <v>32000</v>
      </c>
      <c r="E16" s="70">
        <v>2</v>
      </c>
      <c r="F16" s="71">
        <v>0.38</v>
      </c>
      <c r="H16" s="62"/>
      <c r="I16" s="63"/>
      <c r="J16" s="63"/>
      <c r="K16" s="63"/>
    </row>
    <row r="17" spans="2:11" x14ac:dyDescent="0.35">
      <c r="B17" s="51">
        <v>720</v>
      </c>
      <c r="C17" s="70">
        <v>0.26</v>
      </c>
      <c r="D17" s="70">
        <v>16000</v>
      </c>
      <c r="E17" s="70">
        <v>6</v>
      </c>
      <c r="F17" s="71">
        <v>0.14000000000000001</v>
      </c>
      <c r="H17" s="62" t="s">
        <v>43</v>
      </c>
      <c r="I17" s="63"/>
      <c r="J17" s="63"/>
      <c r="K17" s="63"/>
    </row>
    <row r="18" spans="2:11" x14ac:dyDescent="0.35">
      <c r="B18" s="51">
        <v>670</v>
      </c>
      <c r="C18" s="70">
        <v>0.34</v>
      </c>
      <c r="D18" s="70">
        <v>24000</v>
      </c>
      <c r="E18" s="70">
        <v>3</v>
      </c>
      <c r="F18" s="71">
        <v>0.27</v>
      </c>
      <c r="H18" s="62" t="s">
        <v>17</v>
      </c>
      <c r="I18" s="63">
        <f>MIN(Table13[Credit_Score (x1)])</f>
        <v>600</v>
      </c>
      <c r="J18" s="63">
        <f>MIN(Table13[Debt_to_Income (x2)])</f>
        <v>0.17</v>
      </c>
      <c r="K18" s="63"/>
    </row>
    <row r="19" spans="2:11" x14ac:dyDescent="0.35">
      <c r="B19" s="51">
        <v>740</v>
      </c>
      <c r="C19" s="70">
        <v>0.21</v>
      </c>
      <c r="D19" s="70">
        <v>13000</v>
      </c>
      <c r="E19" s="70">
        <v>8</v>
      </c>
      <c r="F19" s="71">
        <v>0.09</v>
      </c>
      <c r="H19" s="62" t="s">
        <v>11</v>
      </c>
      <c r="I19" s="63">
        <f>MAX(Table13[Credit_Score (x1)])</f>
        <v>780</v>
      </c>
      <c r="J19" s="63">
        <f>MAX(Table13[Debt_to_Income (x2)])</f>
        <v>0.45</v>
      </c>
      <c r="K19" s="63"/>
    </row>
    <row r="20" spans="2:11" x14ac:dyDescent="0.35">
      <c r="B20" s="51">
        <v>630</v>
      </c>
      <c r="C20" s="70">
        <v>0.43</v>
      </c>
      <c r="D20" s="70">
        <v>31000</v>
      </c>
      <c r="E20" s="70">
        <v>1</v>
      </c>
      <c r="F20" s="71">
        <v>0.36</v>
      </c>
      <c r="H20" s="62" t="s">
        <v>19</v>
      </c>
      <c r="I20" s="63">
        <f>I19-I18</f>
        <v>180</v>
      </c>
      <c r="J20" s="63">
        <f>J19-J18</f>
        <v>0.28000000000000003</v>
      </c>
      <c r="K20" s="63"/>
    </row>
    <row r="21" spans="2:11" x14ac:dyDescent="0.35">
      <c r="B21" s="51">
        <v>700</v>
      </c>
      <c r="C21" s="70">
        <v>0.28999999999999998</v>
      </c>
      <c r="D21" s="70">
        <v>19000</v>
      </c>
      <c r="E21" s="70">
        <v>5</v>
      </c>
      <c r="F21" s="71">
        <v>0.16</v>
      </c>
      <c r="H21" s="62"/>
      <c r="I21" s="63"/>
      <c r="J21" s="63"/>
      <c r="K21" s="63"/>
    </row>
    <row r="22" spans="2:11" x14ac:dyDescent="0.35">
      <c r="B22" s="51">
        <v>680</v>
      </c>
      <c r="C22" s="70">
        <v>0.32</v>
      </c>
      <c r="D22" s="70">
        <v>23000</v>
      </c>
      <c r="E22" s="70">
        <v>4</v>
      </c>
      <c r="F22" s="71">
        <v>0.24</v>
      </c>
      <c r="H22" s="52"/>
    </row>
    <row r="23" spans="2:11" x14ac:dyDescent="0.35">
      <c r="B23" s="51">
        <v>710</v>
      </c>
      <c r="C23" s="70">
        <v>0.24</v>
      </c>
      <c r="D23" s="70">
        <v>15000</v>
      </c>
      <c r="E23" s="70">
        <v>7</v>
      </c>
      <c r="F23" s="71">
        <v>0.11</v>
      </c>
      <c r="H23" s="52"/>
    </row>
    <row r="24" spans="2:11" x14ac:dyDescent="0.35">
      <c r="B24" s="51">
        <v>650</v>
      </c>
      <c r="C24" s="70">
        <v>0.37</v>
      </c>
      <c r="D24" s="70">
        <v>27000</v>
      </c>
      <c r="E24" s="70">
        <v>2</v>
      </c>
      <c r="F24" s="71">
        <v>0.3</v>
      </c>
      <c r="H24" s="52"/>
    </row>
    <row r="25" spans="2:11" x14ac:dyDescent="0.35">
      <c r="B25" s="51">
        <v>760</v>
      </c>
      <c r="C25" s="70">
        <v>0.19</v>
      </c>
      <c r="D25" s="70">
        <v>12000</v>
      </c>
      <c r="E25" s="70">
        <v>9</v>
      </c>
      <c r="F25" s="71">
        <v>7.0000000000000007E-2</v>
      </c>
      <c r="H25" s="52"/>
    </row>
    <row r="26" spans="2:11" x14ac:dyDescent="0.35">
      <c r="B26" s="51">
        <v>620</v>
      </c>
      <c r="C26" s="70">
        <v>0.41</v>
      </c>
      <c r="D26" s="70">
        <v>34000</v>
      </c>
      <c r="E26" s="70">
        <v>1</v>
      </c>
      <c r="F26" s="71">
        <v>0.39</v>
      </c>
    </row>
    <row r="27" spans="2:11" x14ac:dyDescent="0.35">
      <c r="B27" s="51">
        <v>730</v>
      </c>
      <c r="C27" s="70">
        <v>0.23</v>
      </c>
      <c r="D27" s="70">
        <v>14000</v>
      </c>
      <c r="E27" s="70">
        <v>6</v>
      </c>
      <c r="F27" s="71">
        <v>0.13</v>
      </c>
    </row>
    <row r="28" spans="2:11" x14ac:dyDescent="0.35">
      <c r="B28" s="51">
        <v>670</v>
      </c>
      <c r="C28" s="70">
        <v>0.35</v>
      </c>
      <c r="D28" s="70">
        <v>25000</v>
      </c>
      <c r="E28" s="70">
        <v>3</v>
      </c>
      <c r="F28" s="71">
        <v>0.26</v>
      </c>
    </row>
    <row r="29" spans="2:11" x14ac:dyDescent="0.35">
      <c r="B29" s="51">
        <v>740</v>
      </c>
      <c r="C29" s="70">
        <v>0.2</v>
      </c>
      <c r="D29" s="70">
        <v>13000</v>
      </c>
      <c r="E29" s="70">
        <v>8</v>
      </c>
      <c r="F29" s="71">
        <v>0.08</v>
      </c>
    </row>
    <row r="30" spans="2:11" x14ac:dyDescent="0.35">
      <c r="B30" s="51">
        <v>610</v>
      </c>
      <c r="C30" s="70">
        <v>0.44</v>
      </c>
      <c r="D30" s="70">
        <v>33000</v>
      </c>
      <c r="E30" s="70">
        <v>2</v>
      </c>
      <c r="F30" s="71">
        <v>0.37</v>
      </c>
    </row>
    <row r="31" spans="2:11" x14ac:dyDescent="0.35">
      <c r="B31" s="51">
        <v>700</v>
      </c>
      <c r="C31" s="70">
        <v>0.28000000000000003</v>
      </c>
      <c r="D31" s="70">
        <v>18000</v>
      </c>
      <c r="E31" s="70">
        <v>5</v>
      </c>
      <c r="F31" s="71">
        <v>0.17</v>
      </c>
    </row>
    <row r="32" spans="2:11" x14ac:dyDescent="0.35">
      <c r="B32" s="51">
        <v>680</v>
      </c>
      <c r="C32" s="70">
        <v>0.33</v>
      </c>
      <c r="D32" s="70">
        <v>22000</v>
      </c>
      <c r="E32" s="70">
        <v>4</v>
      </c>
      <c r="F32" s="71">
        <v>0.23</v>
      </c>
    </row>
    <row r="33" spans="2:6" x14ac:dyDescent="0.35">
      <c r="B33" s="51">
        <v>720</v>
      </c>
      <c r="C33" s="70">
        <v>0.22</v>
      </c>
      <c r="D33" s="70">
        <v>16000</v>
      </c>
      <c r="E33" s="70">
        <v>7</v>
      </c>
      <c r="F33" s="71">
        <v>0.1</v>
      </c>
    </row>
    <row r="34" spans="2:6" x14ac:dyDescent="0.35">
      <c r="B34" s="51">
        <v>660</v>
      </c>
      <c r="C34" s="70">
        <v>0.36</v>
      </c>
      <c r="D34" s="70">
        <v>26000</v>
      </c>
      <c r="E34" s="70">
        <v>3</v>
      </c>
      <c r="F34" s="71">
        <v>0.28999999999999998</v>
      </c>
    </row>
    <row r="35" spans="2:6" x14ac:dyDescent="0.35">
      <c r="B35" s="51">
        <v>750</v>
      </c>
      <c r="C35" s="70">
        <v>0.18</v>
      </c>
      <c r="D35" s="70">
        <v>11000</v>
      </c>
      <c r="E35" s="70">
        <v>10</v>
      </c>
      <c r="F35" s="71">
        <v>0.06</v>
      </c>
    </row>
    <row r="36" spans="2:6" x14ac:dyDescent="0.35">
      <c r="B36" s="51">
        <v>630</v>
      </c>
      <c r="C36" s="70">
        <v>0.42</v>
      </c>
      <c r="D36" s="70">
        <v>31000</v>
      </c>
      <c r="E36" s="70">
        <v>1</v>
      </c>
      <c r="F36" s="71">
        <v>0.35</v>
      </c>
    </row>
    <row r="37" spans="2:6" x14ac:dyDescent="0.35">
      <c r="B37" s="51">
        <v>710</v>
      </c>
      <c r="C37" s="70">
        <v>0.27</v>
      </c>
      <c r="D37" s="70">
        <v>17000</v>
      </c>
      <c r="E37" s="70">
        <v>5</v>
      </c>
      <c r="F37" s="71">
        <v>0.15</v>
      </c>
    </row>
    <row r="38" spans="2:6" x14ac:dyDescent="0.35">
      <c r="B38" s="51">
        <v>670</v>
      </c>
      <c r="C38" s="70">
        <v>0.34</v>
      </c>
      <c r="D38" s="70">
        <v>24000</v>
      </c>
      <c r="E38" s="70">
        <v>3</v>
      </c>
      <c r="F38" s="71">
        <v>0.27</v>
      </c>
    </row>
    <row r="39" spans="2:6" x14ac:dyDescent="0.35">
      <c r="B39" s="51">
        <v>740</v>
      </c>
      <c r="C39" s="70">
        <v>0.21</v>
      </c>
      <c r="D39" s="70">
        <v>13000</v>
      </c>
      <c r="E39" s="70">
        <v>8</v>
      </c>
      <c r="F39" s="71">
        <v>0.09</v>
      </c>
    </row>
    <row r="40" spans="2:6" x14ac:dyDescent="0.35">
      <c r="B40" s="51">
        <v>620</v>
      </c>
      <c r="C40" s="70">
        <v>0.45</v>
      </c>
      <c r="D40" s="70">
        <v>35000</v>
      </c>
      <c r="E40" s="70">
        <v>2</v>
      </c>
      <c r="F40" s="71">
        <v>0.4</v>
      </c>
    </row>
    <row r="41" spans="2:6" x14ac:dyDescent="0.35">
      <c r="B41" s="51">
        <v>700</v>
      </c>
      <c r="C41" s="70">
        <v>0.28999999999999998</v>
      </c>
      <c r="D41" s="70">
        <v>19000</v>
      </c>
      <c r="E41" s="70">
        <v>5</v>
      </c>
      <c r="F41" s="71">
        <v>0.16</v>
      </c>
    </row>
    <row r="42" spans="2:6" x14ac:dyDescent="0.35">
      <c r="B42" s="51">
        <v>680</v>
      </c>
      <c r="C42" s="70">
        <v>0.32</v>
      </c>
      <c r="D42" s="70">
        <v>23000</v>
      </c>
      <c r="E42" s="70">
        <v>4</v>
      </c>
      <c r="F42" s="71">
        <v>0.24</v>
      </c>
    </row>
    <row r="43" spans="2:6" x14ac:dyDescent="0.35">
      <c r="B43" s="51">
        <v>710</v>
      </c>
      <c r="C43" s="70">
        <v>0.24</v>
      </c>
      <c r="D43" s="70">
        <v>15000</v>
      </c>
      <c r="E43" s="70">
        <v>7</v>
      </c>
      <c r="F43" s="71">
        <v>0.11</v>
      </c>
    </row>
    <row r="44" spans="2:6" x14ac:dyDescent="0.35">
      <c r="B44" s="51">
        <v>650</v>
      </c>
      <c r="C44" s="70">
        <v>0.37</v>
      </c>
      <c r="D44" s="70">
        <v>27000</v>
      </c>
      <c r="E44" s="70">
        <v>2</v>
      </c>
      <c r="F44" s="71">
        <v>0.3</v>
      </c>
    </row>
    <row r="45" spans="2:6" x14ac:dyDescent="0.35">
      <c r="B45" s="51">
        <v>760</v>
      </c>
      <c r="C45" s="70">
        <v>0.19</v>
      </c>
      <c r="D45" s="70">
        <v>12000</v>
      </c>
      <c r="E45" s="70">
        <v>9</v>
      </c>
      <c r="F45" s="71">
        <v>7.0000000000000007E-2</v>
      </c>
    </row>
    <row r="46" spans="2:6" x14ac:dyDescent="0.35">
      <c r="B46" s="51">
        <v>620</v>
      </c>
      <c r="C46" s="70">
        <v>0.41</v>
      </c>
      <c r="D46" s="70">
        <v>34000</v>
      </c>
      <c r="E46" s="70">
        <v>1</v>
      </c>
      <c r="F46" s="71">
        <v>0.39</v>
      </c>
    </row>
    <row r="47" spans="2:6" x14ac:dyDescent="0.35">
      <c r="B47" s="51">
        <v>730</v>
      </c>
      <c r="C47" s="70">
        <v>0.23</v>
      </c>
      <c r="D47" s="70">
        <v>14000</v>
      </c>
      <c r="E47" s="70">
        <v>6</v>
      </c>
      <c r="F47" s="71">
        <v>0.13</v>
      </c>
    </row>
    <row r="48" spans="2:6" x14ac:dyDescent="0.35">
      <c r="B48" s="51">
        <v>670</v>
      </c>
      <c r="C48" s="70">
        <v>0.35</v>
      </c>
      <c r="D48" s="70">
        <v>25000</v>
      </c>
      <c r="E48" s="70">
        <v>3</v>
      </c>
      <c r="F48" s="71">
        <v>0.26</v>
      </c>
    </row>
    <row r="49" spans="2:6" x14ac:dyDescent="0.35">
      <c r="B49" s="51">
        <v>740</v>
      </c>
      <c r="C49" s="70">
        <v>0.2</v>
      </c>
      <c r="D49" s="70">
        <v>13000</v>
      </c>
      <c r="E49" s="70">
        <v>8</v>
      </c>
      <c r="F49" s="71">
        <v>0.08</v>
      </c>
    </row>
    <row r="50" spans="2:6" x14ac:dyDescent="0.35">
      <c r="B50" s="51">
        <v>610</v>
      </c>
      <c r="C50" s="70">
        <v>0.44</v>
      </c>
      <c r="D50" s="70">
        <v>33000</v>
      </c>
      <c r="E50" s="70">
        <v>2</v>
      </c>
      <c r="F50" s="71">
        <v>0.37</v>
      </c>
    </row>
    <row r="51" spans="2:6" x14ac:dyDescent="0.35">
      <c r="B51" s="51">
        <v>700</v>
      </c>
      <c r="C51" s="70">
        <v>0.28000000000000003</v>
      </c>
      <c r="D51" s="70">
        <v>18000</v>
      </c>
      <c r="E51" s="70">
        <v>5</v>
      </c>
      <c r="F51" s="71">
        <v>0.17</v>
      </c>
    </row>
    <row r="52" spans="2:6" x14ac:dyDescent="0.35">
      <c r="B52" s="51">
        <v>680</v>
      </c>
      <c r="C52" s="70">
        <v>0.33</v>
      </c>
      <c r="D52" s="70">
        <v>22000</v>
      </c>
      <c r="E52" s="70">
        <v>4</v>
      </c>
      <c r="F52" s="71">
        <v>0.23</v>
      </c>
    </row>
    <row r="53" spans="2:6" x14ac:dyDescent="0.35">
      <c r="B53" s="51">
        <v>720</v>
      </c>
      <c r="C53" s="70">
        <v>0.22</v>
      </c>
      <c r="D53" s="70">
        <v>16000</v>
      </c>
      <c r="E53" s="70">
        <v>7</v>
      </c>
      <c r="F53" s="71">
        <v>0.1</v>
      </c>
    </row>
    <row r="54" spans="2:6" x14ac:dyDescent="0.35">
      <c r="B54" s="51">
        <v>660</v>
      </c>
      <c r="C54" s="70">
        <v>0.36</v>
      </c>
      <c r="D54" s="70">
        <v>26000</v>
      </c>
      <c r="E54" s="70">
        <v>3</v>
      </c>
      <c r="F54" s="71">
        <v>0.28999999999999998</v>
      </c>
    </row>
    <row r="55" spans="2:6" x14ac:dyDescent="0.35">
      <c r="B55" s="51">
        <v>750</v>
      </c>
      <c r="C55" s="70">
        <v>0.18</v>
      </c>
      <c r="D55" s="70">
        <v>11000</v>
      </c>
      <c r="E55" s="70">
        <v>10</v>
      </c>
      <c r="F55" s="71">
        <v>0.06</v>
      </c>
    </row>
    <row r="56" spans="2:6" x14ac:dyDescent="0.35">
      <c r="B56" s="51">
        <v>630</v>
      </c>
      <c r="C56" s="70">
        <v>0.42</v>
      </c>
      <c r="D56" s="70">
        <v>31000</v>
      </c>
      <c r="E56" s="70">
        <v>1</v>
      </c>
      <c r="F56" s="71">
        <v>0.35</v>
      </c>
    </row>
    <row r="57" spans="2:6" x14ac:dyDescent="0.35">
      <c r="B57" s="51">
        <v>710</v>
      </c>
      <c r="C57" s="70">
        <v>0.27</v>
      </c>
      <c r="D57" s="70">
        <v>17000</v>
      </c>
      <c r="E57" s="70">
        <v>5</v>
      </c>
      <c r="F57" s="71">
        <v>0.15</v>
      </c>
    </row>
    <row r="58" spans="2:6" x14ac:dyDescent="0.35">
      <c r="B58" s="51">
        <v>670</v>
      </c>
      <c r="C58" s="70">
        <v>0.34</v>
      </c>
      <c r="D58" s="70">
        <v>24000</v>
      </c>
      <c r="E58" s="70">
        <v>3</v>
      </c>
      <c r="F58" s="71">
        <v>0.27</v>
      </c>
    </row>
    <row r="59" spans="2:6" x14ac:dyDescent="0.35">
      <c r="B59" s="51">
        <v>740</v>
      </c>
      <c r="C59" s="70">
        <v>0.21</v>
      </c>
      <c r="D59" s="70">
        <v>13000</v>
      </c>
      <c r="E59" s="70">
        <v>8</v>
      </c>
      <c r="F59" s="71">
        <v>0.09</v>
      </c>
    </row>
    <row r="60" spans="2:6" x14ac:dyDescent="0.35">
      <c r="B60" s="51">
        <v>620</v>
      </c>
      <c r="C60" s="70">
        <v>0.45</v>
      </c>
      <c r="D60" s="70">
        <v>35000</v>
      </c>
      <c r="E60" s="70">
        <v>2</v>
      </c>
      <c r="F60" s="71">
        <v>0.4</v>
      </c>
    </row>
    <row r="61" spans="2:6" x14ac:dyDescent="0.35">
      <c r="B61" s="51">
        <v>700</v>
      </c>
      <c r="C61" s="70">
        <v>0.28999999999999998</v>
      </c>
      <c r="D61" s="70">
        <v>19000</v>
      </c>
      <c r="E61" s="70">
        <v>5</v>
      </c>
      <c r="F61" s="71">
        <v>0.16</v>
      </c>
    </row>
    <row r="62" spans="2:6" x14ac:dyDescent="0.35">
      <c r="B62" s="51">
        <v>680</v>
      </c>
      <c r="C62" s="70">
        <v>0.32</v>
      </c>
      <c r="D62" s="70">
        <v>23000</v>
      </c>
      <c r="E62" s="70">
        <v>4</v>
      </c>
      <c r="F62" s="71">
        <v>0.24</v>
      </c>
    </row>
    <row r="63" spans="2:6" x14ac:dyDescent="0.35">
      <c r="B63" s="51">
        <v>710</v>
      </c>
      <c r="C63" s="70">
        <v>0.24</v>
      </c>
      <c r="D63" s="70">
        <v>15000</v>
      </c>
      <c r="E63" s="70">
        <v>7</v>
      </c>
      <c r="F63" s="71">
        <v>0.11</v>
      </c>
    </row>
    <row r="64" spans="2:6" x14ac:dyDescent="0.35">
      <c r="B64" s="51">
        <v>650</v>
      </c>
      <c r="C64" s="70">
        <v>0.37</v>
      </c>
      <c r="D64" s="70">
        <v>27000</v>
      </c>
      <c r="E64" s="70">
        <v>2</v>
      </c>
      <c r="F64" s="71">
        <v>0.3</v>
      </c>
    </row>
    <row r="65" spans="2:6" x14ac:dyDescent="0.35">
      <c r="B65" s="51">
        <v>760</v>
      </c>
      <c r="C65" s="70">
        <v>0.19</v>
      </c>
      <c r="D65" s="70">
        <v>12000</v>
      </c>
      <c r="E65" s="70">
        <v>9</v>
      </c>
      <c r="F65" s="71">
        <v>7.0000000000000007E-2</v>
      </c>
    </row>
    <row r="66" spans="2:6" x14ac:dyDescent="0.35">
      <c r="B66" s="51">
        <v>620</v>
      </c>
      <c r="C66" s="70">
        <v>0.41</v>
      </c>
      <c r="D66" s="70">
        <v>34000</v>
      </c>
      <c r="E66" s="70">
        <v>1</v>
      </c>
      <c r="F66" s="71">
        <v>0.39</v>
      </c>
    </row>
    <row r="67" spans="2:6" x14ac:dyDescent="0.35">
      <c r="B67" s="51">
        <v>730</v>
      </c>
      <c r="C67" s="70">
        <v>0.23</v>
      </c>
      <c r="D67" s="70">
        <v>14000</v>
      </c>
      <c r="E67" s="70">
        <v>6</v>
      </c>
      <c r="F67" s="71">
        <v>0.13</v>
      </c>
    </row>
    <row r="68" spans="2:6" x14ac:dyDescent="0.35">
      <c r="B68" s="51">
        <v>670</v>
      </c>
      <c r="C68" s="70">
        <v>0.35</v>
      </c>
      <c r="D68" s="70">
        <v>25000</v>
      </c>
      <c r="E68" s="70">
        <v>3</v>
      </c>
      <c r="F68" s="71">
        <v>0.26</v>
      </c>
    </row>
    <row r="69" spans="2:6" x14ac:dyDescent="0.35">
      <c r="B69" s="51">
        <v>740</v>
      </c>
      <c r="C69" s="70">
        <v>0.2</v>
      </c>
      <c r="D69" s="70">
        <v>13000</v>
      </c>
      <c r="E69" s="70">
        <v>8</v>
      </c>
      <c r="F69" s="71">
        <v>0.08</v>
      </c>
    </row>
    <row r="70" spans="2:6" x14ac:dyDescent="0.35">
      <c r="B70" s="51">
        <v>610</v>
      </c>
      <c r="C70" s="70">
        <v>0.44</v>
      </c>
      <c r="D70" s="70">
        <v>33000</v>
      </c>
      <c r="E70" s="70">
        <v>2</v>
      </c>
      <c r="F70" s="71">
        <v>0.37</v>
      </c>
    </row>
    <row r="71" spans="2:6" x14ac:dyDescent="0.35">
      <c r="B71" s="51">
        <v>700</v>
      </c>
      <c r="C71" s="70">
        <v>0.28000000000000003</v>
      </c>
      <c r="D71" s="70">
        <v>18000</v>
      </c>
      <c r="E71" s="70">
        <v>5</v>
      </c>
      <c r="F71" s="71">
        <v>0.17</v>
      </c>
    </row>
    <row r="72" spans="2:6" x14ac:dyDescent="0.35">
      <c r="B72" s="51">
        <v>680</v>
      </c>
      <c r="C72" s="70">
        <v>0.33</v>
      </c>
      <c r="D72" s="70">
        <v>22000</v>
      </c>
      <c r="E72" s="70">
        <v>4</v>
      </c>
      <c r="F72" s="71">
        <v>0.23</v>
      </c>
    </row>
    <row r="73" spans="2:6" x14ac:dyDescent="0.35">
      <c r="B73" s="51">
        <v>720</v>
      </c>
      <c r="C73" s="70">
        <v>0.22</v>
      </c>
      <c r="D73" s="70">
        <v>16000</v>
      </c>
      <c r="E73" s="70">
        <v>7</v>
      </c>
      <c r="F73" s="71">
        <v>0.1</v>
      </c>
    </row>
    <row r="74" spans="2:6" x14ac:dyDescent="0.35">
      <c r="B74" s="51">
        <v>660</v>
      </c>
      <c r="C74" s="70">
        <v>0.36</v>
      </c>
      <c r="D74" s="70">
        <v>26000</v>
      </c>
      <c r="E74" s="70">
        <v>3</v>
      </c>
      <c r="F74" s="71">
        <v>0.28999999999999998</v>
      </c>
    </row>
    <row r="75" spans="2:6" x14ac:dyDescent="0.35">
      <c r="B75" s="51">
        <v>750</v>
      </c>
      <c r="C75" s="70">
        <v>0.18</v>
      </c>
      <c r="D75" s="70">
        <v>11000</v>
      </c>
      <c r="E75" s="70">
        <v>10</v>
      </c>
      <c r="F75" s="71">
        <v>0.06</v>
      </c>
    </row>
    <row r="76" spans="2:6" x14ac:dyDescent="0.35">
      <c r="B76" s="51">
        <v>630</v>
      </c>
      <c r="C76" s="70">
        <v>0.42</v>
      </c>
      <c r="D76" s="70">
        <v>31000</v>
      </c>
      <c r="E76" s="70">
        <v>1</v>
      </c>
      <c r="F76" s="71">
        <v>0.35</v>
      </c>
    </row>
    <row r="77" spans="2:6" x14ac:dyDescent="0.35">
      <c r="B77" s="51">
        <v>710</v>
      </c>
      <c r="C77" s="70">
        <v>0.27</v>
      </c>
      <c r="D77" s="70">
        <v>17000</v>
      </c>
      <c r="E77" s="70">
        <v>5</v>
      </c>
      <c r="F77" s="71">
        <v>0.15</v>
      </c>
    </row>
    <row r="78" spans="2:6" x14ac:dyDescent="0.35">
      <c r="B78" s="51">
        <v>670</v>
      </c>
      <c r="C78" s="70">
        <v>0.34</v>
      </c>
      <c r="D78" s="70">
        <v>24000</v>
      </c>
      <c r="E78" s="70">
        <v>3</v>
      </c>
      <c r="F78" s="71">
        <v>0.27</v>
      </c>
    </row>
    <row r="79" spans="2:6" x14ac:dyDescent="0.35">
      <c r="B79" s="51">
        <v>740</v>
      </c>
      <c r="C79" s="70">
        <v>0.21</v>
      </c>
      <c r="D79" s="70">
        <v>13000</v>
      </c>
      <c r="E79" s="70">
        <v>8</v>
      </c>
      <c r="F79" s="71">
        <v>0.09</v>
      </c>
    </row>
    <row r="80" spans="2:6" x14ac:dyDescent="0.35">
      <c r="B80" s="51">
        <v>620</v>
      </c>
      <c r="C80" s="70">
        <v>0.45</v>
      </c>
      <c r="D80" s="70">
        <v>35000</v>
      </c>
      <c r="E80" s="70">
        <v>2</v>
      </c>
      <c r="F80" s="71">
        <v>0.4</v>
      </c>
    </row>
    <row r="81" spans="2:6" x14ac:dyDescent="0.35">
      <c r="B81" s="51">
        <v>700</v>
      </c>
      <c r="C81" s="70">
        <v>0.28999999999999998</v>
      </c>
      <c r="D81" s="70">
        <v>19000</v>
      </c>
      <c r="E81" s="70">
        <v>5</v>
      </c>
      <c r="F81" s="71">
        <v>0.16</v>
      </c>
    </row>
    <row r="82" spans="2:6" x14ac:dyDescent="0.35">
      <c r="B82" s="51">
        <v>680</v>
      </c>
      <c r="C82" s="70">
        <v>0.32</v>
      </c>
      <c r="D82" s="70">
        <v>23000</v>
      </c>
      <c r="E82" s="70">
        <v>4</v>
      </c>
      <c r="F82" s="71">
        <v>0.24</v>
      </c>
    </row>
    <row r="83" spans="2:6" x14ac:dyDescent="0.35">
      <c r="B83" s="51">
        <v>710</v>
      </c>
      <c r="C83" s="70">
        <v>0.24</v>
      </c>
      <c r="D83" s="70">
        <v>15000</v>
      </c>
      <c r="E83" s="70">
        <v>7</v>
      </c>
      <c r="F83" s="71">
        <v>0.11</v>
      </c>
    </row>
    <row r="84" spans="2:6" x14ac:dyDescent="0.35">
      <c r="B84" s="51">
        <v>650</v>
      </c>
      <c r="C84" s="70">
        <v>0.37</v>
      </c>
      <c r="D84" s="70">
        <v>27000</v>
      </c>
      <c r="E84" s="70">
        <v>2</v>
      </c>
      <c r="F84" s="71">
        <v>0.3</v>
      </c>
    </row>
    <row r="85" spans="2:6" x14ac:dyDescent="0.35">
      <c r="B85" s="51">
        <v>760</v>
      </c>
      <c r="C85" s="70">
        <v>0.19</v>
      </c>
      <c r="D85" s="70">
        <v>12000</v>
      </c>
      <c r="E85" s="70">
        <v>9</v>
      </c>
      <c r="F85" s="71">
        <v>7.0000000000000007E-2</v>
      </c>
    </row>
    <row r="86" spans="2:6" x14ac:dyDescent="0.35">
      <c r="B86" s="51">
        <v>620</v>
      </c>
      <c r="C86" s="70">
        <v>0.41</v>
      </c>
      <c r="D86" s="70">
        <v>34000</v>
      </c>
      <c r="E86" s="70">
        <v>1</v>
      </c>
      <c r="F86" s="71">
        <v>0.39</v>
      </c>
    </row>
    <row r="87" spans="2:6" x14ac:dyDescent="0.35">
      <c r="B87" s="51">
        <v>730</v>
      </c>
      <c r="C87" s="70">
        <v>0.23</v>
      </c>
      <c r="D87" s="70">
        <v>14000</v>
      </c>
      <c r="E87" s="70">
        <v>6</v>
      </c>
      <c r="F87" s="71">
        <v>0.13</v>
      </c>
    </row>
    <row r="88" spans="2:6" x14ac:dyDescent="0.35">
      <c r="B88" s="51">
        <v>670</v>
      </c>
      <c r="C88" s="70">
        <v>0.35</v>
      </c>
      <c r="D88" s="70">
        <v>25000</v>
      </c>
      <c r="E88" s="70">
        <v>3</v>
      </c>
      <c r="F88" s="71">
        <v>0.26</v>
      </c>
    </row>
    <row r="89" spans="2:6" x14ac:dyDescent="0.35">
      <c r="B89" s="51">
        <v>740</v>
      </c>
      <c r="C89" s="70">
        <v>0.2</v>
      </c>
      <c r="D89" s="70">
        <v>13000</v>
      </c>
      <c r="E89" s="70">
        <v>8</v>
      </c>
      <c r="F89" s="71">
        <v>0.08</v>
      </c>
    </row>
    <row r="90" spans="2:6" x14ac:dyDescent="0.35">
      <c r="B90" s="51">
        <v>610</v>
      </c>
      <c r="C90" s="70">
        <v>0.44</v>
      </c>
      <c r="D90" s="70">
        <v>33000</v>
      </c>
      <c r="E90" s="70">
        <v>2</v>
      </c>
      <c r="F90" s="71">
        <v>0.37</v>
      </c>
    </row>
    <row r="91" spans="2:6" x14ac:dyDescent="0.35">
      <c r="B91" s="51">
        <v>700</v>
      </c>
      <c r="C91" s="70">
        <v>0.28000000000000003</v>
      </c>
      <c r="D91" s="70">
        <v>18000</v>
      </c>
      <c r="E91" s="70">
        <v>5</v>
      </c>
      <c r="F91" s="71">
        <v>0.17</v>
      </c>
    </row>
    <row r="92" spans="2:6" x14ac:dyDescent="0.35">
      <c r="B92" s="51">
        <v>680</v>
      </c>
      <c r="C92" s="70">
        <v>0.33</v>
      </c>
      <c r="D92" s="70">
        <v>22000</v>
      </c>
      <c r="E92" s="70">
        <v>4</v>
      </c>
      <c r="F92" s="71">
        <v>0.23</v>
      </c>
    </row>
    <row r="93" spans="2:6" x14ac:dyDescent="0.35">
      <c r="B93" s="51">
        <v>720</v>
      </c>
      <c r="C93" s="70">
        <v>0.22</v>
      </c>
      <c r="D93" s="70">
        <v>16000</v>
      </c>
      <c r="E93" s="70">
        <v>7</v>
      </c>
      <c r="F93" s="71">
        <v>0.1</v>
      </c>
    </row>
    <row r="94" spans="2:6" x14ac:dyDescent="0.35">
      <c r="B94" s="51">
        <v>660</v>
      </c>
      <c r="C94" s="70">
        <v>0.36</v>
      </c>
      <c r="D94" s="70">
        <v>26000</v>
      </c>
      <c r="E94" s="70">
        <v>3</v>
      </c>
      <c r="F94" s="71">
        <v>0.28999999999999998</v>
      </c>
    </row>
    <row r="95" spans="2:6" x14ac:dyDescent="0.35">
      <c r="B95" s="51">
        <v>750</v>
      </c>
      <c r="C95" s="70">
        <v>0.18</v>
      </c>
      <c r="D95" s="70">
        <v>11000</v>
      </c>
      <c r="E95" s="70">
        <v>10</v>
      </c>
      <c r="F95" s="71">
        <v>0.06</v>
      </c>
    </row>
    <row r="96" spans="2:6" x14ac:dyDescent="0.35">
      <c r="B96" s="51">
        <v>630</v>
      </c>
      <c r="C96" s="70">
        <v>0.42</v>
      </c>
      <c r="D96" s="70">
        <v>31000</v>
      </c>
      <c r="E96" s="70">
        <v>1</v>
      </c>
      <c r="F96" s="71">
        <v>0.35</v>
      </c>
    </row>
    <row r="97" spans="2:6" x14ac:dyDescent="0.35">
      <c r="B97" s="51">
        <v>710</v>
      </c>
      <c r="C97" s="70">
        <v>0.27</v>
      </c>
      <c r="D97" s="70">
        <v>17000</v>
      </c>
      <c r="E97" s="70">
        <v>5</v>
      </c>
      <c r="F97" s="71">
        <v>0.15</v>
      </c>
    </row>
    <row r="98" spans="2:6" x14ac:dyDescent="0.35">
      <c r="B98" s="51">
        <v>670</v>
      </c>
      <c r="C98" s="70">
        <v>0.34</v>
      </c>
      <c r="D98" s="70">
        <v>24000</v>
      </c>
      <c r="E98" s="70">
        <v>3</v>
      </c>
      <c r="F98" s="71">
        <v>0.27</v>
      </c>
    </row>
    <row r="99" spans="2:6" x14ac:dyDescent="0.35">
      <c r="B99" s="51">
        <v>740</v>
      </c>
      <c r="C99" s="70">
        <v>0.21</v>
      </c>
      <c r="D99" s="70">
        <v>13000</v>
      </c>
      <c r="E99" s="70">
        <v>8</v>
      </c>
      <c r="F99" s="71">
        <v>0.09</v>
      </c>
    </row>
    <row r="100" spans="2:6" x14ac:dyDescent="0.35">
      <c r="B100" s="72">
        <v>620</v>
      </c>
      <c r="C100" s="73">
        <v>0.45</v>
      </c>
      <c r="D100" s="73">
        <v>35000</v>
      </c>
      <c r="E100" s="73">
        <v>2</v>
      </c>
      <c r="F100" s="74">
        <v>0.4</v>
      </c>
    </row>
  </sheetData>
  <dataValidations count="1">
    <dataValidation allowBlank="1" showInputMessage="1" showErrorMessage="1" sqref="H19"/>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showGridLines="0" zoomScale="67" workbookViewId="0">
      <selection activeCell="F28" sqref="F28"/>
    </sheetView>
  </sheetViews>
  <sheetFormatPr defaultRowHeight="23.4" x14ac:dyDescent="0.45"/>
  <cols>
    <col min="1" max="1" width="21.5546875" style="55" customWidth="1"/>
    <col min="2" max="2" width="29.44140625" style="55" bestFit="1" customWidth="1"/>
    <col min="3" max="3" width="8.88671875" style="55"/>
    <col min="4" max="4" width="13.33203125" style="55" bestFit="1" customWidth="1"/>
    <col min="5" max="5" width="8.88671875" style="55"/>
    <col min="6" max="6" width="36.5546875" style="55" bestFit="1" customWidth="1"/>
    <col min="7" max="7" width="31.6640625" style="55" bestFit="1" customWidth="1"/>
    <col min="8" max="16384" width="8.88671875" style="55"/>
  </cols>
  <sheetData>
    <row r="1" spans="1:7" ht="24" thickBot="1" x14ac:dyDescent="0.5"/>
    <row r="2" spans="1:7" s="82" customFormat="1" ht="26.4" thickBot="1" x14ac:dyDescent="0.55000000000000004">
      <c r="A2" s="81" t="s">
        <v>44</v>
      </c>
    </row>
    <row r="3" spans="1:7" ht="24" thickBot="1" x14ac:dyDescent="0.5"/>
    <row r="4" spans="1:7" ht="29.4" customHeight="1" x14ac:dyDescent="0.45">
      <c r="A4" s="53" t="s">
        <v>0</v>
      </c>
      <c r="B4" s="54" t="s">
        <v>4</v>
      </c>
    </row>
    <row r="5" spans="1:7" x14ac:dyDescent="0.45">
      <c r="A5" s="56">
        <v>720</v>
      </c>
      <c r="B5" s="57">
        <v>0.12</v>
      </c>
      <c r="F5" s="55" t="s">
        <v>45</v>
      </c>
    </row>
    <row r="6" spans="1:7" x14ac:dyDescent="0.45">
      <c r="A6" s="56">
        <v>650</v>
      </c>
      <c r="B6" s="57">
        <v>0.28000000000000003</v>
      </c>
    </row>
    <row r="7" spans="1:7" x14ac:dyDescent="0.45">
      <c r="A7" s="56">
        <v>780</v>
      </c>
      <c r="B7" s="57">
        <v>0.05</v>
      </c>
      <c r="F7" s="58">
        <f>CORREL(A5:A102,B5:B102)</f>
        <v>-0.98258074486365743</v>
      </c>
      <c r="G7" s="55" t="s">
        <v>46</v>
      </c>
    </row>
    <row r="8" spans="1:7" x14ac:dyDescent="0.45">
      <c r="A8" s="56">
        <v>620</v>
      </c>
      <c r="B8" s="57">
        <v>0.35</v>
      </c>
    </row>
    <row r="9" spans="1:7" x14ac:dyDescent="0.45">
      <c r="A9" s="56">
        <v>700</v>
      </c>
      <c r="B9" s="57">
        <v>0.15</v>
      </c>
    </row>
    <row r="10" spans="1:7" x14ac:dyDescent="0.45">
      <c r="A10" s="56">
        <v>680</v>
      </c>
      <c r="B10" s="57">
        <v>0.2</v>
      </c>
    </row>
    <row r="11" spans="1:7" ht="22.2" customHeight="1" x14ac:dyDescent="0.45">
      <c r="A11" s="56">
        <v>740</v>
      </c>
      <c r="B11" s="57">
        <v>0.1</v>
      </c>
      <c r="F11" s="59" t="s">
        <v>47</v>
      </c>
    </row>
    <row r="12" spans="1:7" ht="22.8" customHeight="1" x14ac:dyDescent="0.45">
      <c r="A12" s="56">
        <v>600</v>
      </c>
      <c r="B12" s="57">
        <v>0.4</v>
      </c>
      <c r="F12" s="60" t="s">
        <v>48</v>
      </c>
    </row>
    <row r="13" spans="1:7" x14ac:dyDescent="0.45">
      <c r="A13" s="56">
        <v>710</v>
      </c>
      <c r="B13" s="57">
        <v>0.18</v>
      </c>
    </row>
    <row r="14" spans="1:7" x14ac:dyDescent="0.45">
      <c r="A14" s="56">
        <v>660</v>
      </c>
      <c r="B14" s="57">
        <v>0.25</v>
      </c>
    </row>
    <row r="15" spans="1:7" x14ac:dyDescent="0.45">
      <c r="A15" s="56">
        <v>730</v>
      </c>
      <c r="B15" s="57">
        <v>0.08</v>
      </c>
    </row>
    <row r="16" spans="1:7" x14ac:dyDescent="0.45">
      <c r="A16" s="56">
        <v>690</v>
      </c>
      <c r="B16" s="57">
        <v>0.22</v>
      </c>
    </row>
    <row r="17" spans="1:2" x14ac:dyDescent="0.45">
      <c r="A17" s="56">
        <v>750</v>
      </c>
      <c r="B17" s="57">
        <v>0.06</v>
      </c>
    </row>
    <row r="18" spans="1:2" x14ac:dyDescent="0.45">
      <c r="A18" s="56">
        <v>610</v>
      </c>
      <c r="B18" s="57">
        <v>0.38</v>
      </c>
    </row>
    <row r="19" spans="1:2" x14ac:dyDescent="0.45">
      <c r="A19" s="56">
        <v>720</v>
      </c>
      <c r="B19" s="57">
        <v>0.14000000000000001</v>
      </c>
    </row>
    <row r="20" spans="1:2" x14ac:dyDescent="0.45">
      <c r="A20" s="56">
        <v>670</v>
      </c>
      <c r="B20" s="57">
        <v>0.27</v>
      </c>
    </row>
    <row r="21" spans="1:2" x14ac:dyDescent="0.45">
      <c r="A21" s="56">
        <v>740</v>
      </c>
      <c r="B21" s="57">
        <v>0.09</v>
      </c>
    </row>
    <row r="22" spans="1:2" x14ac:dyDescent="0.45">
      <c r="A22" s="56">
        <v>630</v>
      </c>
      <c r="B22" s="57">
        <v>0.36</v>
      </c>
    </row>
    <row r="23" spans="1:2" x14ac:dyDescent="0.45">
      <c r="A23" s="56">
        <v>700</v>
      </c>
      <c r="B23" s="57">
        <v>0.16</v>
      </c>
    </row>
    <row r="24" spans="1:2" x14ac:dyDescent="0.45">
      <c r="A24" s="56">
        <v>680</v>
      </c>
      <c r="B24" s="57">
        <v>0.24</v>
      </c>
    </row>
    <row r="25" spans="1:2" x14ac:dyDescent="0.45">
      <c r="A25" s="56">
        <v>710</v>
      </c>
      <c r="B25" s="57">
        <v>0.11</v>
      </c>
    </row>
    <row r="26" spans="1:2" x14ac:dyDescent="0.45">
      <c r="A26" s="56">
        <v>650</v>
      </c>
      <c r="B26" s="57">
        <v>0.3</v>
      </c>
    </row>
    <row r="27" spans="1:2" x14ac:dyDescent="0.45">
      <c r="A27" s="56">
        <v>760</v>
      </c>
      <c r="B27" s="57">
        <v>7.0000000000000007E-2</v>
      </c>
    </row>
    <row r="28" spans="1:2" x14ac:dyDescent="0.45">
      <c r="A28" s="56">
        <v>620</v>
      </c>
      <c r="B28" s="57">
        <v>0.39</v>
      </c>
    </row>
    <row r="29" spans="1:2" x14ac:dyDescent="0.45">
      <c r="A29" s="56">
        <v>730</v>
      </c>
      <c r="B29" s="57">
        <v>0.13</v>
      </c>
    </row>
    <row r="30" spans="1:2" x14ac:dyDescent="0.45">
      <c r="A30" s="56">
        <v>670</v>
      </c>
      <c r="B30" s="57">
        <v>0.26</v>
      </c>
    </row>
    <row r="31" spans="1:2" x14ac:dyDescent="0.45">
      <c r="A31" s="56">
        <v>740</v>
      </c>
      <c r="B31" s="57">
        <v>0.08</v>
      </c>
    </row>
    <row r="32" spans="1:2" x14ac:dyDescent="0.45">
      <c r="A32" s="56">
        <v>610</v>
      </c>
      <c r="B32" s="57">
        <v>0.37</v>
      </c>
    </row>
    <row r="33" spans="1:2" x14ac:dyDescent="0.45">
      <c r="A33" s="56">
        <v>700</v>
      </c>
      <c r="B33" s="57">
        <v>0.17</v>
      </c>
    </row>
    <row r="34" spans="1:2" x14ac:dyDescent="0.45">
      <c r="A34" s="56">
        <v>680</v>
      </c>
      <c r="B34" s="57">
        <v>0.23</v>
      </c>
    </row>
    <row r="35" spans="1:2" x14ac:dyDescent="0.45">
      <c r="A35" s="56">
        <v>720</v>
      </c>
      <c r="B35" s="57">
        <v>0.1</v>
      </c>
    </row>
    <row r="36" spans="1:2" x14ac:dyDescent="0.45">
      <c r="A36" s="56">
        <v>660</v>
      </c>
      <c r="B36" s="57">
        <v>0.28999999999999998</v>
      </c>
    </row>
    <row r="37" spans="1:2" x14ac:dyDescent="0.45">
      <c r="A37" s="56">
        <v>750</v>
      </c>
      <c r="B37" s="57">
        <v>0.06</v>
      </c>
    </row>
    <row r="38" spans="1:2" x14ac:dyDescent="0.45">
      <c r="A38" s="56">
        <v>630</v>
      </c>
      <c r="B38" s="57">
        <v>0.35</v>
      </c>
    </row>
    <row r="39" spans="1:2" x14ac:dyDescent="0.45">
      <c r="A39" s="56">
        <v>710</v>
      </c>
      <c r="B39" s="57">
        <v>0.15</v>
      </c>
    </row>
    <row r="40" spans="1:2" x14ac:dyDescent="0.45">
      <c r="A40" s="56">
        <v>670</v>
      </c>
      <c r="B40" s="57">
        <v>0.27</v>
      </c>
    </row>
    <row r="41" spans="1:2" x14ac:dyDescent="0.45">
      <c r="A41" s="56">
        <v>740</v>
      </c>
      <c r="B41" s="57">
        <v>0.09</v>
      </c>
    </row>
    <row r="42" spans="1:2" x14ac:dyDescent="0.45">
      <c r="A42" s="56">
        <v>620</v>
      </c>
      <c r="B42" s="57">
        <v>0.4</v>
      </c>
    </row>
    <row r="43" spans="1:2" x14ac:dyDescent="0.45">
      <c r="A43" s="56">
        <v>700</v>
      </c>
      <c r="B43" s="57">
        <v>0.16</v>
      </c>
    </row>
    <row r="44" spans="1:2" x14ac:dyDescent="0.45">
      <c r="A44" s="56">
        <v>680</v>
      </c>
      <c r="B44" s="57">
        <v>0.24</v>
      </c>
    </row>
    <row r="45" spans="1:2" x14ac:dyDescent="0.45">
      <c r="A45" s="56">
        <v>710</v>
      </c>
      <c r="B45" s="57">
        <v>0.11</v>
      </c>
    </row>
    <row r="46" spans="1:2" x14ac:dyDescent="0.45">
      <c r="A46" s="56">
        <v>650</v>
      </c>
      <c r="B46" s="57">
        <v>0.3</v>
      </c>
    </row>
    <row r="47" spans="1:2" x14ac:dyDescent="0.45">
      <c r="A47" s="56">
        <v>760</v>
      </c>
      <c r="B47" s="57">
        <v>7.0000000000000007E-2</v>
      </c>
    </row>
    <row r="48" spans="1:2" x14ac:dyDescent="0.45">
      <c r="A48" s="56">
        <v>620</v>
      </c>
      <c r="B48" s="57">
        <v>0.39</v>
      </c>
    </row>
    <row r="49" spans="1:2" x14ac:dyDescent="0.45">
      <c r="A49" s="56">
        <v>730</v>
      </c>
      <c r="B49" s="57">
        <v>0.13</v>
      </c>
    </row>
    <row r="50" spans="1:2" x14ac:dyDescent="0.45">
      <c r="A50" s="56">
        <v>670</v>
      </c>
      <c r="B50" s="57">
        <v>0.26</v>
      </c>
    </row>
    <row r="51" spans="1:2" x14ac:dyDescent="0.45">
      <c r="A51" s="56">
        <v>740</v>
      </c>
      <c r="B51" s="57">
        <v>0.08</v>
      </c>
    </row>
    <row r="52" spans="1:2" x14ac:dyDescent="0.45">
      <c r="A52" s="56">
        <v>610</v>
      </c>
      <c r="B52" s="57">
        <v>0.37</v>
      </c>
    </row>
    <row r="53" spans="1:2" x14ac:dyDescent="0.45">
      <c r="A53" s="56">
        <v>700</v>
      </c>
      <c r="B53" s="57">
        <v>0.17</v>
      </c>
    </row>
    <row r="54" spans="1:2" x14ac:dyDescent="0.45">
      <c r="A54" s="56">
        <v>680</v>
      </c>
      <c r="B54" s="57">
        <v>0.23</v>
      </c>
    </row>
    <row r="55" spans="1:2" x14ac:dyDescent="0.45">
      <c r="A55" s="56">
        <v>720</v>
      </c>
      <c r="B55" s="57">
        <v>0.1</v>
      </c>
    </row>
    <row r="56" spans="1:2" x14ac:dyDescent="0.45">
      <c r="A56" s="56">
        <v>660</v>
      </c>
      <c r="B56" s="57">
        <v>0.28999999999999998</v>
      </c>
    </row>
    <row r="57" spans="1:2" x14ac:dyDescent="0.45">
      <c r="A57" s="56">
        <v>750</v>
      </c>
      <c r="B57" s="57">
        <v>0.06</v>
      </c>
    </row>
    <row r="58" spans="1:2" x14ac:dyDescent="0.45">
      <c r="A58" s="56">
        <v>630</v>
      </c>
      <c r="B58" s="57">
        <v>0.35</v>
      </c>
    </row>
    <row r="59" spans="1:2" x14ac:dyDescent="0.45">
      <c r="A59" s="56">
        <v>710</v>
      </c>
      <c r="B59" s="57">
        <v>0.15</v>
      </c>
    </row>
    <row r="60" spans="1:2" x14ac:dyDescent="0.45">
      <c r="A60" s="56">
        <v>670</v>
      </c>
      <c r="B60" s="57">
        <v>0.27</v>
      </c>
    </row>
    <row r="61" spans="1:2" x14ac:dyDescent="0.45">
      <c r="A61" s="56">
        <v>740</v>
      </c>
      <c r="B61" s="57">
        <v>0.09</v>
      </c>
    </row>
    <row r="62" spans="1:2" x14ac:dyDescent="0.45">
      <c r="A62" s="56">
        <v>620</v>
      </c>
      <c r="B62" s="57">
        <v>0.4</v>
      </c>
    </row>
    <row r="63" spans="1:2" x14ac:dyDescent="0.45">
      <c r="A63" s="56">
        <v>700</v>
      </c>
      <c r="B63" s="57">
        <v>0.16</v>
      </c>
    </row>
    <row r="64" spans="1:2" x14ac:dyDescent="0.45">
      <c r="A64" s="56">
        <v>680</v>
      </c>
      <c r="B64" s="57">
        <v>0.24</v>
      </c>
    </row>
    <row r="65" spans="1:2" x14ac:dyDescent="0.45">
      <c r="A65" s="56">
        <v>710</v>
      </c>
      <c r="B65" s="57">
        <v>0.11</v>
      </c>
    </row>
    <row r="66" spans="1:2" x14ac:dyDescent="0.45">
      <c r="A66" s="56">
        <v>650</v>
      </c>
      <c r="B66" s="57">
        <v>0.3</v>
      </c>
    </row>
    <row r="67" spans="1:2" x14ac:dyDescent="0.45">
      <c r="A67" s="56">
        <v>760</v>
      </c>
      <c r="B67" s="57">
        <v>7.0000000000000007E-2</v>
      </c>
    </row>
    <row r="68" spans="1:2" x14ac:dyDescent="0.45">
      <c r="A68" s="56">
        <v>620</v>
      </c>
      <c r="B68" s="57">
        <v>0.39</v>
      </c>
    </row>
    <row r="69" spans="1:2" x14ac:dyDescent="0.45">
      <c r="A69" s="56">
        <v>730</v>
      </c>
      <c r="B69" s="57">
        <v>0.13</v>
      </c>
    </row>
    <row r="70" spans="1:2" x14ac:dyDescent="0.45">
      <c r="A70" s="56">
        <v>670</v>
      </c>
      <c r="B70" s="57">
        <v>0.26</v>
      </c>
    </row>
    <row r="71" spans="1:2" x14ac:dyDescent="0.45">
      <c r="A71" s="56">
        <v>740</v>
      </c>
      <c r="B71" s="57">
        <v>0.08</v>
      </c>
    </row>
    <row r="72" spans="1:2" x14ac:dyDescent="0.45">
      <c r="A72" s="56">
        <v>610</v>
      </c>
      <c r="B72" s="57">
        <v>0.37</v>
      </c>
    </row>
    <row r="73" spans="1:2" x14ac:dyDescent="0.45">
      <c r="A73" s="56">
        <v>700</v>
      </c>
      <c r="B73" s="57">
        <v>0.17</v>
      </c>
    </row>
    <row r="74" spans="1:2" x14ac:dyDescent="0.45">
      <c r="A74" s="56">
        <v>680</v>
      </c>
      <c r="B74" s="57">
        <v>0.23</v>
      </c>
    </row>
    <row r="75" spans="1:2" x14ac:dyDescent="0.45">
      <c r="A75" s="56">
        <v>720</v>
      </c>
      <c r="B75" s="57">
        <v>0.1</v>
      </c>
    </row>
    <row r="76" spans="1:2" x14ac:dyDescent="0.45">
      <c r="A76" s="56">
        <v>660</v>
      </c>
      <c r="B76" s="57">
        <v>0.28999999999999998</v>
      </c>
    </row>
    <row r="77" spans="1:2" x14ac:dyDescent="0.45">
      <c r="A77" s="56">
        <v>750</v>
      </c>
      <c r="B77" s="57">
        <v>0.06</v>
      </c>
    </row>
    <row r="78" spans="1:2" x14ac:dyDescent="0.45">
      <c r="A78" s="56">
        <v>630</v>
      </c>
      <c r="B78" s="57">
        <v>0.35</v>
      </c>
    </row>
    <row r="79" spans="1:2" x14ac:dyDescent="0.45">
      <c r="A79" s="56">
        <v>710</v>
      </c>
      <c r="B79" s="57">
        <v>0.15</v>
      </c>
    </row>
    <row r="80" spans="1:2" x14ac:dyDescent="0.45">
      <c r="A80" s="56">
        <v>670</v>
      </c>
      <c r="B80" s="57">
        <v>0.27</v>
      </c>
    </row>
    <row r="81" spans="1:2" x14ac:dyDescent="0.45">
      <c r="A81" s="56">
        <v>740</v>
      </c>
      <c r="B81" s="57">
        <v>0.09</v>
      </c>
    </row>
    <row r="82" spans="1:2" x14ac:dyDescent="0.45">
      <c r="A82" s="56">
        <v>620</v>
      </c>
      <c r="B82" s="57">
        <v>0.4</v>
      </c>
    </row>
    <row r="83" spans="1:2" x14ac:dyDescent="0.45">
      <c r="A83" s="56">
        <v>700</v>
      </c>
      <c r="B83" s="57">
        <v>0.16</v>
      </c>
    </row>
    <row r="84" spans="1:2" x14ac:dyDescent="0.45">
      <c r="A84" s="56">
        <v>680</v>
      </c>
      <c r="B84" s="57">
        <v>0.24</v>
      </c>
    </row>
    <row r="85" spans="1:2" x14ac:dyDescent="0.45">
      <c r="A85" s="56">
        <v>710</v>
      </c>
      <c r="B85" s="57">
        <v>0.11</v>
      </c>
    </row>
    <row r="86" spans="1:2" x14ac:dyDescent="0.45">
      <c r="A86" s="56">
        <v>650</v>
      </c>
      <c r="B86" s="57">
        <v>0.3</v>
      </c>
    </row>
    <row r="87" spans="1:2" x14ac:dyDescent="0.45">
      <c r="A87" s="56">
        <v>760</v>
      </c>
      <c r="B87" s="57">
        <v>7.0000000000000007E-2</v>
      </c>
    </row>
    <row r="88" spans="1:2" x14ac:dyDescent="0.45">
      <c r="A88" s="56">
        <v>620</v>
      </c>
      <c r="B88" s="57">
        <v>0.39</v>
      </c>
    </row>
    <row r="89" spans="1:2" x14ac:dyDescent="0.45">
      <c r="A89" s="56">
        <v>730</v>
      </c>
      <c r="B89" s="57">
        <v>0.13</v>
      </c>
    </row>
    <row r="90" spans="1:2" x14ac:dyDescent="0.45">
      <c r="A90" s="56">
        <v>670</v>
      </c>
      <c r="B90" s="57">
        <v>0.26</v>
      </c>
    </row>
    <row r="91" spans="1:2" x14ac:dyDescent="0.45">
      <c r="A91" s="56">
        <v>740</v>
      </c>
      <c r="B91" s="57">
        <v>0.08</v>
      </c>
    </row>
    <row r="92" spans="1:2" x14ac:dyDescent="0.45">
      <c r="A92" s="56">
        <v>610</v>
      </c>
      <c r="B92" s="57">
        <v>0.37</v>
      </c>
    </row>
    <row r="93" spans="1:2" x14ac:dyDescent="0.45">
      <c r="A93" s="56">
        <v>700</v>
      </c>
      <c r="B93" s="57">
        <v>0.17</v>
      </c>
    </row>
    <row r="94" spans="1:2" x14ac:dyDescent="0.45">
      <c r="A94" s="56">
        <v>680</v>
      </c>
      <c r="B94" s="57">
        <v>0.23</v>
      </c>
    </row>
    <row r="95" spans="1:2" x14ac:dyDescent="0.45">
      <c r="A95" s="56">
        <v>720</v>
      </c>
      <c r="B95" s="57">
        <v>0.1</v>
      </c>
    </row>
    <row r="96" spans="1:2" x14ac:dyDescent="0.45">
      <c r="A96" s="56">
        <v>660</v>
      </c>
      <c r="B96" s="57">
        <v>0.28999999999999998</v>
      </c>
    </row>
    <row r="97" spans="1:2" x14ac:dyDescent="0.45">
      <c r="A97" s="56">
        <v>750</v>
      </c>
      <c r="B97" s="57">
        <v>0.06</v>
      </c>
    </row>
    <row r="98" spans="1:2" x14ac:dyDescent="0.45">
      <c r="A98" s="56">
        <v>630</v>
      </c>
      <c r="B98" s="57">
        <v>0.35</v>
      </c>
    </row>
    <row r="99" spans="1:2" x14ac:dyDescent="0.45">
      <c r="A99" s="56">
        <v>710</v>
      </c>
      <c r="B99" s="57">
        <v>0.15</v>
      </c>
    </row>
    <row r="100" spans="1:2" x14ac:dyDescent="0.45">
      <c r="A100" s="56">
        <v>670</v>
      </c>
      <c r="B100" s="57">
        <v>0.27</v>
      </c>
    </row>
    <row r="101" spans="1:2" x14ac:dyDescent="0.45">
      <c r="A101" s="56">
        <v>740</v>
      </c>
      <c r="B101" s="57">
        <v>0.09</v>
      </c>
    </row>
    <row r="102" spans="1:2" x14ac:dyDescent="0.45">
      <c r="A102" s="56">
        <v>620</v>
      </c>
      <c r="B102" s="57">
        <v>0.4</v>
      </c>
    </row>
  </sheetData>
  <mergeCells count="1">
    <mergeCell ref="A2:XF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2"/>
  <sheetViews>
    <sheetView showGridLines="0" zoomScale="57" workbookViewId="0">
      <selection activeCell="B4" sqref="B4"/>
    </sheetView>
  </sheetViews>
  <sheetFormatPr defaultRowHeight="25.8" x14ac:dyDescent="0.5"/>
  <cols>
    <col min="1" max="1" width="8.88671875" style="10"/>
    <col min="2" max="2" width="21.88671875" style="10" bestFit="1" customWidth="1"/>
    <col min="3" max="3" width="27.44140625" style="10" bestFit="1" customWidth="1"/>
    <col min="4" max="4" width="23.109375" style="10" bestFit="1" customWidth="1"/>
    <col min="5" max="6" width="31.33203125" style="10" bestFit="1" customWidth="1"/>
    <col min="7" max="7" width="8.88671875" style="10"/>
    <col min="8" max="8" width="247" style="10" bestFit="1" customWidth="1"/>
    <col min="9" max="9" width="17.6640625" style="10" customWidth="1"/>
    <col min="10" max="10" width="20.6640625" style="10" customWidth="1"/>
    <col min="11" max="11" width="12.33203125" style="10" customWidth="1"/>
    <col min="12" max="12" width="14.44140625" style="10" customWidth="1"/>
    <col min="13" max="13" width="14.88671875" style="10" customWidth="1"/>
    <col min="14" max="14" width="13.5546875" style="10" customWidth="1"/>
    <col min="15" max="15" width="17.33203125" style="10" customWidth="1"/>
    <col min="16" max="16" width="14.5546875" style="10" customWidth="1"/>
    <col min="17" max="19" width="8.88671875" style="10"/>
    <col min="20" max="20" width="8.88671875" style="10" customWidth="1"/>
    <col min="21" max="16384" width="8.88671875" style="10"/>
  </cols>
  <sheetData>
    <row r="1" spans="1:31" ht="26.4" thickBot="1" x14ac:dyDescent="0.55000000000000004"/>
    <row r="2" spans="1:31" s="131" customFormat="1" ht="42.6" customHeight="1" thickBot="1" x14ac:dyDescent="0.75">
      <c r="A2" s="131" t="s">
        <v>49</v>
      </c>
    </row>
    <row r="3" spans="1:31" s="83" customFormat="1" ht="21.6" customHeight="1" x14ac:dyDescent="0.5">
      <c r="E3" s="84"/>
      <c r="F3" s="84"/>
      <c r="G3" s="84"/>
      <c r="H3" s="84"/>
      <c r="I3" s="84"/>
      <c r="J3" s="84"/>
      <c r="K3" s="84"/>
      <c r="L3" s="84"/>
      <c r="M3" s="84"/>
      <c r="N3" s="84"/>
      <c r="O3" s="84"/>
      <c r="P3" s="84"/>
    </row>
    <row r="4" spans="1:31" x14ac:dyDescent="0.5">
      <c r="B4" s="85" t="s">
        <v>50</v>
      </c>
      <c r="C4" s="85" t="s">
        <v>1</v>
      </c>
      <c r="D4" s="85" t="s">
        <v>2</v>
      </c>
      <c r="E4" s="85" t="s">
        <v>3</v>
      </c>
      <c r="F4" s="85" t="s">
        <v>4</v>
      </c>
    </row>
    <row r="5" spans="1:31" x14ac:dyDescent="0.5">
      <c r="B5" s="86">
        <v>720</v>
      </c>
      <c r="C5" s="86">
        <v>0.25</v>
      </c>
      <c r="D5" s="86">
        <v>15000</v>
      </c>
      <c r="E5" s="86">
        <v>5</v>
      </c>
      <c r="F5" s="86">
        <v>0.12</v>
      </c>
      <c r="H5" s="87" t="s">
        <v>51</v>
      </c>
      <c r="I5" s="88"/>
      <c r="J5" s="88"/>
      <c r="K5" s="88"/>
      <c r="L5" s="88"/>
      <c r="M5" s="88"/>
      <c r="N5" s="88"/>
      <c r="O5" s="88"/>
      <c r="P5" s="88"/>
      <c r="Q5" s="88"/>
      <c r="R5" s="89"/>
      <c r="S5" s="89"/>
      <c r="T5" s="89"/>
      <c r="U5" s="89"/>
      <c r="V5" s="89"/>
      <c r="W5" s="89"/>
      <c r="X5" s="89"/>
      <c r="Y5" s="89"/>
      <c r="Z5" s="89"/>
      <c r="AA5" s="89"/>
      <c r="AB5" s="89"/>
      <c r="AC5" s="89"/>
      <c r="AD5" s="89"/>
      <c r="AE5" s="90"/>
    </row>
    <row r="6" spans="1:31" x14ac:dyDescent="0.5">
      <c r="B6" s="86">
        <v>650</v>
      </c>
      <c r="C6" s="86">
        <v>0.35</v>
      </c>
      <c r="D6" s="86">
        <v>25000</v>
      </c>
      <c r="E6" s="86">
        <v>3</v>
      </c>
      <c r="F6" s="86">
        <v>0.28000000000000003</v>
      </c>
      <c r="H6" s="91" t="s">
        <v>52</v>
      </c>
      <c r="I6" s="92"/>
      <c r="J6" s="93"/>
      <c r="K6" s="88"/>
      <c r="L6" s="88"/>
      <c r="M6" s="88"/>
      <c r="N6" s="88"/>
      <c r="O6" s="88"/>
      <c r="P6" s="88"/>
      <c r="Q6" s="88"/>
      <c r="R6" s="89"/>
      <c r="S6" s="89"/>
      <c r="T6" s="90"/>
      <c r="AE6" s="94"/>
    </row>
    <row r="7" spans="1:31" x14ac:dyDescent="0.5">
      <c r="B7" s="86">
        <v>780</v>
      </c>
      <c r="C7" s="86">
        <v>0.18</v>
      </c>
      <c r="D7" s="86">
        <v>10000</v>
      </c>
      <c r="E7" s="86">
        <v>8</v>
      </c>
      <c r="F7" s="86">
        <v>0.05</v>
      </c>
      <c r="H7" s="95" t="s">
        <v>53</v>
      </c>
      <c r="I7" s="92"/>
      <c r="J7" s="96" t="s">
        <v>54</v>
      </c>
      <c r="K7" s="97"/>
      <c r="L7" s="97"/>
      <c r="M7" s="97"/>
      <c r="N7" s="97"/>
      <c r="O7" s="97"/>
      <c r="P7" s="97"/>
      <c r="Q7" s="97"/>
      <c r="T7" s="94"/>
      <c r="AE7" s="94"/>
    </row>
    <row r="8" spans="1:31" x14ac:dyDescent="0.5">
      <c r="B8" s="86">
        <v>620</v>
      </c>
      <c r="C8" s="86">
        <v>0.42</v>
      </c>
      <c r="D8" s="86">
        <v>30000</v>
      </c>
      <c r="E8" s="86">
        <v>2</v>
      </c>
      <c r="F8" s="86">
        <v>0.35</v>
      </c>
      <c r="H8" s="95" t="s">
        <v>55</v>
      </c>
      <c r="I8" s="98">
        <v>0.99381342226671898</v>
      </c>
      <c r="J8" s="99" t="s">
        <v>56</v>
      </c>
      <c r="K8" s="97"/>
      <c r="L8" s="97"/>
      <c r="M8" s="97"/>
      <c r="N8" s="97"/>
      <c r="O8" s="97"/>
      <c r="P8" s="97"/>
      <c r="Q8" s="97"/>
      <c r="T8" s="94"/>
      <c r="AE8" s="94"/>
    </row>
    <row r="9" spans="1:31" x14ac:dyDescent="0.5">
      <c r="B9" s="86">
        <v>700</v>
      </c>
      <c r="C9" s="86">
        <v>0.3</v>
      </c>
      <c r="D9" s="86">
        <v>20000</v>
      </c>
      <c r="E9" s="86">
        <v>6</v>
      </c>
      <c r="F9" s="86">
        <v>0.15</v>
      </c>
      <c r="H9" s="95" t="s">
        <v>57</v>
      </c>
      <c r="I9" s="98">
        <v>0.98766511827748804</v>
      </c>
      <c r="J9" s="99" t="s">
        <v>58</v>
      </c>
      <c r="K9" s="97"/>
      <c r="L9" s="97"/>
      <c r="M9" s="97"/>
      <c r="N9" s="97"/>
      <c r="O9" s="97"/>
      <c r="P9" s="97"/>
      <c r="Q9" s="97"/>
      <c r="T9" s="94"/>
      <c r="AE9" s="94"/>
    </row>
    <row r="10" spans="1:31" x14ac:dyDescent="0.5">
      <c r="B10" s="86">
        <v>680</v>
      </c>
      <c r="C10" s="86">
        <v>0.27</v>
      </c>
      <c r="D10" s="86">
        <v>18000</v>
      </c>
      <c r="E10" s="86">
        <v>4</v>
      </c>
      <c r="F10" s="86">
        <v>0.2</v>
      </c>
      <c r="H10" s="95" t="s">
        <v>59</v>
      </c>
      <c r="I10" s="98">
        <v>0.98713458573028301</v>
      </c>
      <c r="J10" s="99" t="s">
        <v>60</v>
      </c>
      <c r="K10" s="97"/>
      <c r="L10" s="97"/>
      <c r="M10" s="97"/>
      <c r="N10" s="97"/>
      <c r="O10" s="97"/>
      <c r="P10" s="97"/>
      <c r="Q10" s="97"/>
      <c r="T10" s="94"/>
      <c r="AE10" s="94"/>
    </row>
    <row r="11" spans="1:31" x14ac:dyDescent="0.5">
      <c r="B11" s="86">
        <v>740</v>
      </c>
      <c r="C11" s="86">
        <v>0.22</v>
      </c>
      <c r="D11" s="86">
        <v>12000</v>
      </c>
      <c r="E11" s="86">
        <v>7</v>
      </c>
      <c r="F11" s="86">
        <v>0.1</v>
      </c>
      <c r="H11" s="95" t="s">
        <v>61</v>
      </c>
      <c r="I11" s="98">
        <v>1.26536232513327E-2</v>
      </c>
      <c r="J11" s="99" t="s">
        <v>62</v>
      </c>
      <c r="K11" s="97"/>
      <c r="L11" s="97"/>
      <c r="M11" s="97"/>
      <c r="N11" s="97"/>
      <c r="O11" s="97"/>
      <c r="P11" s="97"/>
      <c r="Q11" s="97"/>
      <c r="T11" s="94"/>
      <c r="AE11" s="94"/>
    </row>
    <row r="12" spans="1:31" x14ac:dyDescent="0.5">
      <c r="B12" s="86">
        <v>600</v>
      </c>
      <c r="C12" s="86">
        <v>0.45</v>
      </c>
      <c r="D12" s="86">
        <v>35000</v>
      </c>
      <c r="E12" s="86">
        <v>1</v>
      </c>
      <c r="F12" s="86">
        <v>0.4</v>
      </c>
      <c r="H12" s="95" t="s">
        <v>63</v>
      </c>
      <c r="I12" s="98">
        <v>98</v>
      </c>
      <c r="J12" s="100"/>
      <c r="K12" s="101"/>
      <c r="L12" s="101"/>
      <c r="M12" s="101"/>
      <c r="N12" s="101"/>
      <c r="O12" s="101"/>
      <c r="P12" s="101"/>
      <c r="Q12" s="102"/>
      <c r="R12" s="103"/>
      <c r="S12" s="103"/>
      <c r="T12" s="104"/>
      <c r="AE12" s="94"/>
    </row>
    <row r="13" spans="1:31" x14ac:dyDescent="0.5">
      <c r="B13" s="86">
        <v>710</v>
      </c>
      <c r="C13" s="86">
        <v>0.28000000000000003</v>
      </c>
      <c r="D13" s="86">
        <v>17000</v>
      </c>
      <c r="E13" s="86">
        <v>5</v>
      </c>
      <c r="F13" s="86">
        <v>0.18</v>
      </c>
      <c r="H13" s="99"/>
      <c r="I13" s="105"/>
      <c r="J13" s="105"/>
      <c r="K13" s="105"/>
      <c r="L13" s="105"/>
      <c r="M13" s="105"/>
      <c r="N13" s="105"/>
      <c r="O13" s="105"/>
      <c r="P13" s="105"/>
      <c r="Q13" s="97"/>
      <c r="AE13" s="94"/>
    </row>
    <row r="14" spans="1:31" x14ac:dyDescent="0.5">
      <c r="B14" s="86">
        <v>660</v>
      </c>
      <c r="C14" s="86">
        <v>0.33</v>
      </c>
      <c r="D14" s="86">
        <v>22000</v>
      </c>
      <c r="E14" s="86">
        <v>3</v>
      </c>
      <c r="F14" s="86">
        <v>0.25</v>
      </c>
      <c r="H14" s="106" t="s">
        <v>64</v>
      </c>
      <c r="I14" s="107"/>
      <c r="J14" s="107"/>
      <c r="K14" s="107"/>
      <c r="L14" s="107"/>
      <c r="M14" s="107"/>
      <c r="N14" s="107"/>
      <c r="O14" s="107"/>
      <c r="P14" s="107"/>
      <c r="Q14" s="97"/>
      <c r="AE14" s="94"/>
    </row>
    <row r="15" spans="1:31" x14ac:dyDescent="0.5">
      <c r="B15" s="86">
        <v>730</v>
      </c>
      <c r="C15" s="86">
        <v>0.2</v>
      </c>
      <c r="D15" s="86">
        <v>14000</v>
      </c>
      <c r="E15" s="86">
        <v>9</v>
      </c>
      <c r="F15" s="86">
        <v>0.08</v>
      </c>
      <c r="H15" s="95"/>
      <c r="I15" s="108" t="s">
        <v>65</v>
      </c>
      <c r="J15" s="108" t="s">
        <v>66</v>
      </c>
      <c r="K15" s="108" t="s">
        <v>67</v>
      </c>
      <c r="L15" s="108" t="s">
        <v>68</v>
      </c>
      <c r="M15" s="108" t="s">
        <v>69</v>
      </c>
      <c r="N15" s="107"/>
      <c r="O15" s="107"/>
      <c r="P15" s="107"/>
      <c r="Q15" s="97"/>
      <c r="AE15" s="94"/>
    </row>
    <row r="16" spans="1:31" x14ac:dyDescent="0.5">
      <c r="B16" s="86">
        <v>690</v>
      </c>
      <c r="C16" s="86">
        <v>0.31</v>
      </c>
      <c r="D16" s="86">
        <v>26000</v>
      </c>
      <c r="E16" s="86">
        <v>4</v>
      </c>
      <c r="F16" s="86">
        <v>0.22</v>
      </c>
      <c r="H16" s="95" t="s">
        <v>70</v>
      </c>
      <c r="I16" s="107">
        <v>4</v>
      </c>
      <c r="J16" s="107">
        <v>1.19230529949838</v>
      </c>
      <c r="K16" s="107">
        <v>0.29807632487459601</v>
      </c>
      <c r="L16" s="107">
        <v>1861.6484954243799</v>
      </c>
      <c r="M16" s="107">
        <v>0</v>
      </c>
      <c r="N16" s="107"/>
      <c r="O16" s="107"/>
      <c r="P16" s="107"/>
      <c r="Q16" s="97"/>
      <c r="AE16" s="94"/>
    </row>
    <row r="17" spans="2:31" x14ac:dyDescent="0.5">
      <c r="B17" s="86">
        <v>750</v>
      </c>
      <c r="C17" s="86">
        <v>0.17</v>
      </c>
      <c r="D17" s="86">
        <v>11000</v>
      </c>
      <c r="E17" s="86">
        <v>10</v>
      </c>
      <c r="F17" s="86">
        <v>0.06</v>
      </c>
      <c r="H17" s="95" t="s">
        <v>71</v>
      </c>
      <c r="I17" s="107">
        <v>93</v>
      </c>
      <c r="J17" s="107">
        <v>1.48906188689601E-2</v>
      </c>
      <c r="K17" s="107">
        <v>1.6011418138666699E-4</v>
      </c>
      <c r="L17" s="107"/>
      <c r="M17" s="107"/>
      <c r="N17" s="107"/>
      <c r="O17" s="107"/>
      <c r="P17" s="107"/>
      <c r="Q17" s="97"/>
      <c r="AE17" s="94"/>
    </row>
    <row r="18" spans="2:31" x14ac:dyDescent="0.5">
      <c r="B18" s="86">
        <v>610</v>
      </c>
      <c r="C18" s="86">
        <v>0.4</v>
      </c>
      <c r="D18" s="86">
        <v>32000</v>
      </c>
      <c r="E18" s="86">
        <v>2</v>
      </c>
      <c r="F18" s="86">
        <v>0.38</v>
      </c>
      <c r="H18" s="95" t="s">
        <v>72</v>
      </c>
      <c r="I18" s="107">
        <v>97</v>
      </c>
      <c r="J18" s="107">
        <v>1.20719591836734</v>
      </c>
      <c r="K18" s="107"/>
      <c r="L18" s="107"/>
      <c r="M18" s="107"/>
      <c r="N18" s="107"/>
      <c r="O18" s="107"/>
      <c r="P18" s="107"/>
      <c r="Q18" s="97"/>
      <c r="AE18" s="94"/>
    </row>
    <row r="19" spans="2:31" x14ac:dyDescent="0.5">
      <c r="B19" s="86">
        <v>720</v>
      </c>
      <c r="C19" s="86">
        <v>0.26</v>
      </c>
      <c r="D19" s="86">
        <v>16000</v>
      </c>
      <c r="E19" s="86">
        <v>6</v>
      </c>
      <c r="F19" s="86">
        <v>0.14000000000000001</v>
      </c>
      <c r="H19" s="95"/>
      <c r="I19" s="107"/>
      <c r="J19" s="107"/>
      <c r="K19" s="107"/>
      <c r="L19" s="107"/>
      <c r="M19" s="107"/>
      <c r="N19" s="107"/>
      <c r="O19" s="107"/>
      <c r="P19" s="107"/>
      <c r="Q19" s="97"/>
      <c r="AE19" s="94"/>
    </row>
    <row r="20" spans="2:31" x14ac:dyDescent="0.5">
      <c r="B20" s="86">
        <v>670</v>
      </c>
      <c r="C20" s="86">
        <v>0.34</v>
      </c>
      <c r="D20" s="86">
        <v>24000</v>
      </c>
      <c r="E20" s="86">
        <v>3</v>
      </c>
      <c r="F20" s="86">
        <v>0.27</v>
      </c>
      <c r="H20" s="95"/>
      <c r="I20" s="108" t="s">
        <v>73</v>
      </c>
      <c r="J20" s="108" t="s">
        <v>61</v>
      </c>
      <c r="K20" s="108" t="s">
        <v>74</v>
      </c>
      <c r="L20" s="108" t="s">
        <v>75</v>
      </c>
      <c r="M20" s="108" t="s">
        <v>76</v>
      </c>
      <c r="N20" s="108" t="s">
        <v>77</v>
      </c>
      <c r="O20" s="108" t="s">
        <v>76</v>
      </c>
      <c r="P20" s="108" t="s">
        <v>77</v>
      </c>
      <c r="Q20" s="97"/>
      <c r="AE20" s="94"/>
    </row>
    <row r="21" spans="2:31" x14ac:dyDescent="0.5">
      <c r="B21" s="86">
        <v>740</v>
      </c>
      <c r="C21" s="86">
        <v>0.21</v>
      </c>
      <c r="D21" s="86">
        <v>13000</v>
      </c>
      <c r="E21" s="86">
        <v>8</v>
      </c>
      <c r="F21" s="86">
        <v>0.09</v>
      </c>
      <c r="H21" s="95" t="s">
        <v>78</v>
      </c>
      <c r="I21" s="107">
        <v>0.14281765928420401</v>
      </c>
      <c r="J21" s="107">
        <v>0.13982008361454801</v>
      </c>
      <c r="K21" s="107">
        <v>1.0214388061583399</v>
      </c>
      <c r="L21" s="107">
        <v>0.30969633429829002</v>
      </c>
      <c r="M21" s="107">
        <v>-0.13483730999622601</v>
      </c>
      <c r="N21" s="107">
        <v>0.42047262856463502</v>
      </c>
      <c r="O21" s="107">
        <v>-0.13483730999622601</v>
      </c>
      <c r="P21" s="107">
        <v>0.42047262856463502</v>
      </c>
      <c r="Q21" s="97"/>
      <c r="AE21" s="94"/>
    </row>
    <row r="22" spans="2:31" x14ac:dyDescent="0.5">
      <c r="B22" s="86">
        <v>630</v>
      </c>
      <c r="C22" s="86">
        <v>0.43</v>
      </c>
      <c r="D22" s="86">
        <v>31000</v>
      </c>
      <c r="E22" s="86">
        <v>1</v>
      </c>
      <c r="F22" s="86">
        <v>0.36</v>
      </c>
      <c r="H22" s="95" t="s">
        <v>50</v>
      </c>
      <c r="I22" s="107">
        <v>-2.35254139030534E-4</v>
      </c>
      <c r="J22" s="107">
        <v>1.6966614767260701E-4</v>
      </c>
      <c r="K22" s="107">
        <v>-1.3865708761448801</v>
      </c>
      <c r="L22" s="107">
        <v>0.16888758388222</v>
      </c>
      <c r="M22" s="107">
        <v>-5.7217747509314505E-4</v>
      </c>
      <c r="N22" s="107">
        <v>1.0166919703207701E-4</v>
      </c>
      <c r="O22" s="107">
        <v>-5.7217747509314505E-4</v>
      </c>
      <c r="P22" s="107">
        <v>1.0166919703207701E-4</v>
      </c>
      <c r="Q22" s="97"/>
      <c r="AE22" s="94"/>
    </row>
    <row r="23" spans="2:31" x14ac:dyDescent="0.5">
      <c r="B23" s="86">
        <v>700</v>
      </c>
      <c r="C23" s="86">
        <v>0.28999999999999998</v>
      </c>
      <c r="D23" s="86">
        <v>19000</v>
      </c>
      <c r="E23" s="86">
        <v>5</v>
      </c>
      <c r="F23" s="86">
        <v>0.16</v>
      </c>
      <c r="H23" s="95" t="s">
        <v>1</v>
      </c>
      <c r="I23" s="107">
        <v>0.27320127272351102</v>
      </c>
      <c r="J23" s="107">
        <v>0.120458857537076</v>
      </c>
      <c r="K23" s="107">
        <v>2.2680048467122602</v>
      </c>
      <c r="L23" s="107">
        <v>2.5643382918710999E-2</v>
      </c>
      <c r="M23" s="107">
        <v>3.3993860423461301E-2</v>
      </c>
      <c r="N23" s="107">
        <v>0.51240868502356096</v>
      </c>
      <c r="O23" s="107">
        <v>3.3993860423461301E-2</v>
      </c>
      <c r="P23" s="107">
        <v>0.51240868502356096</v>
      </c>
      <c r="Q23" s="97"/>
      <c r="AE23" s="94"/>
    </row>
    <row r="24" spans="2:31" x14ac:dyDescent="0.5">
      <c r="B24" s="86">
        <v>680</v>
      </c>
      <c r="C24" s="86">
        <v>0.32</v>
      </c>
      <c r="D24" s="86">
        <v>23000</v>
      </c>
      <c r="E24" s="86">
        <v>4</v>
      </c>
      <c r="F24" s="86">
        <v>0.24</v>
      </c>
      <c r="H24" s="95" t="s">
        <v>2</v>
      </c>
      <c r="I24" s="107">
        <v>8.1711258811906304E-6</v>
      </c>
      <c r="J24" s="107">
        <v>1.13440708515485E-6</v>
      </c>
      <c r="K24" s="107">
        <v>7.2029926365236099</v>
      </c>
      <c r="L24" s="109">
        <v>1.5094266686693499E-10</v>
      </c>
      <c r="M24" s="107">
        <v>5.9184182855601997E-6</v>
      </c>
      <c r="N24" s="107">
        <v>1.0423833476820999E-5</v>
      </c>
      <c r="O24" s="107">
        <v>5.9184182855601997E-6</v>
      </c>
      <c r="P24" s="107">
        <v>1.0423833476820999E-5</v>
      </c>
      <c r="Q24" s="97"/>
      <c r="AE24" s="94"/>
    </row>
    <row r="25" spans="2:31" x14ac:dyDescent="0.5">
      <c r="B25" s="86">
        <v>710</v>
      </c>
      <c r="C25" s="86">
        <v>0.24</v>
      </c>
      <c r="D25" s="86">
        <v>15000</v>
      </c>
      <c r="E25" s="86">
        <v>7</v>
      </c>
      <c r="F25" s="86">
        <v>0.11</v>
      </c>
      <c r="H25" s="95" t="s">
        <v>3</v>
      </c>
      <c r="I25" s="107">
        <v>-5.8536589898847604E-3</v>
      </c>
      <c r="J25" s="107">
        <v>1.7256918573783999E-3</v>
      </c>
      <c r="K25" s="107">
        <v>-3.3920650229974298</v>
      </c>
      <c r="L25" s="107">
        <v>1.02023461843856E-3</v>
      </c>
      <c r="M25" s="107">
        <v>-9.2805409317436201E-3</v>
      </c>
      <c r="N25" s="107">
        <v>-2.4267770480259098E-3</v>
      </c>
      <c r="O25" s="107">
        <v>-9.2805409317436201E-3</v>
      </c>
      <c r="P25" s="107">
        <v>-2.4267770480259098E-3</v>
      </c>
      <c r="Q25" s="97"/>
      <c r="AE25" s="94"/>
    </row>
    <row r="26" spans="2:31" x14ac:dyDescent="0.5">
      <c r="B26" s="86">
        <v>650</v>
      </c>
      <c r="C26" s="86">
        <v>0.37</v>
      </c>
      <c r="D26" s="86">
        <v>27000</v>
      </c>
      <c r="E26" s="86">
        <v>2</v>
      </c>
      <c r="F26" s="86">
        <v>0.3</v>
      </c>
      <c r="H26" s="110"/>
      <c r="I26" s="110"/>
      <c r="J26" s="110"/>
      <c r="K26" s="110"/>
      <c r="L26" s="110"/>
      <c r="M26" s="110"/>
      <c r="N26" s="110"/>
      <c r="O26" s="110"/>
      <c r="P26" s="110"/>
      <c r="AE26" s="94"/>
    </row>
    <row r="27" spans="2:31" x14ac:dyDescent="0.5">
      <c r="B27" s="86">
        <v>760</v>
      </c>
      <c r="C27" s="86">
        <v>0.19</v>
      </c>
      <c r="D27" s="86">
        <v>12000</v>
      </c>
      <c r="E27" s="86">
        <v>9</v>
      </c>
      <c r="F27" s="86">
        <v>7.0000000000000007E-2</v>
      </c>
      <c r="H27" s="111" t="s">
        <v>79</v>
      </c>
      <c r="I27" s="112"/>
      <c r="J27" s="97"/>
      <c r="K27" s="97"/>
      <c r="L27" s="97"/>
      <c r="M27" s="97"/>
      <c r="N27" s="97"/>
      <c r="O27" s="97"/>
      <c r="P27" s="97"/>
      <c r="Q27" s="97"/>
      <c r="R27" s="97"/>
      <c r="S27" s="97"/>
      <c r="T27" s="97"/>
      <c r="U27" s="97"/>
      <c r="V27" s="97"/>
      <c r="W27" s="97"/>
      <c r="X27" s="97"/>
      <c r="Y27" s="97"/>
      <c r="Z27" s="97"/>
      <c r="AA27" s="97"/>
      <c r="AB27" s="97"/>
      <c r="AC27" s="97"/>
      <c r="AD27" s="97"/>
      <c r="AE27" s="113"/>
    </row>
    <row r="28" spans="2:31" x14ac:dyDescent="0.5">
      <c r="B28" s="86">
        <v>620</v>
      </c>
      <c r="C28" s="86">
        <v>0.41</v>
      </c>
      <c r="D28" s="86">
        <v>34000</v>
      </c>
      <c r="E28" s="86">
        <v>1</v>
      </c>
      <c r="F28" s="86">
        <v>0.39</v>
      </c>
      <c r="H28" s="99" t="s">
        <v>129</v>
      </c>
      <c r="I28" s="97"/>
      <c r="J28" s="97"/>
      <c r="K28" s="97"/>
      <c r="L28" s="97"/>
      <c r="M28" s="97"/>
      <c r="N28" s="97"/>
      <c r="O28" s="97"/>
      <c r="P28" s="97"/>
      <c r="Q28" s="97"/>
      <c r="R28" s="97"/>
      <c r="S28" s="97"/>
      <c r="T28" s="97"/>
      <c r="U28" s="97"/>
      <c r="V28" s="97"/>
      <c r="W28" s="97"/>
      <c r="X28" s="97"/>
      <c r="Y28" s="97"/>
      <c r="Z28" s="97"/>
      <c r="AA28" s="97"/>
      <c r="AB28" s="97"/>
      <c r="AC28" s="97"/>
      <c r="AD28" s="97"/>
      <c r="AE28" s="113"/>
    </row>
    <row r="29" spans="2:31" x14ac:dyDescent="0.5">
      <c r="B29" s="86">
        <v>730</v>
      </c>
      <c r="C29" s="86">
        <v>0.23</v>
      </c>
      <c r="D29" s="86">
        <v>14000</v>
      </c>
      <c r="E29" s="86">
        <v>6</v>
      </c>
      <c r="F29" s="86">
        <v>0.13</v>
      </c>
      <c r="H29" s="114"/>
      <c r="I29" s="97"/>
      <c r="J29" s="97"/>
      <c r="K29" s="97"/>
      <c r="L29" s="97"/>
      <c r="M29" s="97"/>
      <c r="N29" s="97"/>
      <c r="O29" s="97"/>
      <c r="P29" s="97"/>
      <c r="Q29" s="97"/>
      <c r="R29" s="97"/>
      <c r="S29" s="97"/>
      <c r="T29" s="97"/>
      <c r="U29" s="97"/>
      <c r="V29" s="97"/>
      <c r="W29" s="97"/>
      <c r="X29" s="97"/>
      <c r="Y29" s="97"/>
      <c r="Z29" s="97"/>
      <c r="AA29" s="97"/>
      <c r="AB29" s="97"/>
      <c r="AC29" s="97"/>
      <c r="AD29" s="97"/>
      <c r="AE29" s="113"/>
    </row>
    <row r="30" spans="2:31" x14ac:dyDescent="0.5">
      <c r="B30" s="86">
        <v>670</v>
      </c>
      <c r="C30" s="86">
        <v>0.35</v>
      </c>
      <c r="D30" s="86">
        <v>25000</v>
      </c>
      <c r="E30" s="86">
        <v>3</v>
      </c>
      <c r="F30" s="86">
        <v>0.26</v>
      </c>
      <c r="H30" s="87" t="s">
        <v>80</v>
      </c>
      <c r="I30" s="115"/>
      <c r="J30" s="88"/>
      <c r="K30" s="88"/>
      <c r="L30" s="88"/>
      <c r="M30" s="116"/>
      <c r="N30" s="97"/>
      <c r="O30" s="97"/>
      <c r="P30" s="97"/>
      <c r="Q30" s="97"/>
      <c r="R30" s="97"/>
      <c r="S30" s="97"/>
      <c r="T30" s="97"/>
      <c r="U30" s="97"/>
      <c r="V30" s="97"/>
      <c r="W30" s="97"/>
      <c r="X30" s="97"/>
      <c r="Y30" s="97"/>
      <c r="Z30" s="97"/>
      <c r="AA30" s="97"/>
      <c r="AB30" s="97"/>
      <c r="AC30" s="97"/>
      <c r="AD30" s="97"/>
      <c r="AE30" s="113"/>
    </row>
    <row r="31" spans="2:31" x14ac:dyDescent="0.5">
      <c r="B31" s="86">
        <v>740</v>
      </c>
      <c r="C31" s="86">
        <v>0.2</v>
      </c>
      <c r="D31" s="86">
        <v>13000</v>
      </c>
      <c r="E31" s="86">
        <v>8</v>
      </c>
      <c r="F31" s="86">
        <v>0.08</v>
      </c>
      <c r="H31" s="99" t="s">
        <v>81</v>
      </c>
      <c r="I31" s="97" t="s">
        <v>82</v>
      </c>
      <c r="J31" s="97"/>
      <c r="K31" s="97"/>
      <c r="L31" s="97"/>
      <c r="M31" s="113"/>
      <c r="N31" s="97"/>
      <c r="O31" s="97"/>
      <c r="P31" s="97"/>
      <c r="Q31" s="97"/>
      <c r="R31" s="97"/>
      <c r="S31" s="97"/>
      <c r="T31" s="97"/>
      <c r="U31" s="97"/>
      <c r="V31" s="97"/>
      <c r="W31" s="97"/>
      <c r="X31" s="97"/>
      <c r="Y31" s="97"/>
      <c r="Z31" s="97"/>
      <c r="AA31" s="97"/>
      <c r="AB31" s="97"/>
      <c r="AC31" s="97"/>
      <c r="AD31" s="97"/>
      <c r="AE31" s="113"/>
    </row>
    <row r="32" spans="2:31" x14ac:dyDescent="0.5">
      <c r="B32" s="86">
        <v>610</v>
      </c>
      <c r="C32" s="86">
        <v>0.44</v>
      </c>
      <c r="D32" s="86">
        <v>33000</v>
      </c>
      <c r="E32" s="86">
        <v>2</v>
      </c>
      <c r="F32" s="86">
        <v>0.37</v>
      </c>
      <c r="H32" s="117" t="s">
        <v>83</v>
      </c>
      <c r="I32" s="102" t="s">
        <v>84</v>
      </c>
      <c r="J32" s="102"/>
      <c r="K32" s="102"/>
      <c r="L32" s="102"/>
      <c r="M32" s="118"/>
      <c r="N32" s="97"/>
      <c r="O32" s="97"/>
      <c r="P32" s="97"/>
      <c r="Q32" s="97"/>
      <c r="R32" s="97"/>
      <c r="S32" s="97"/>
      <c r="T32" s="97"/>
      <c r="U32" s="97"/>
      <c r="V32" s="97"/>
      <c r="W32" s="97"/>
      <c r="X32" s="97"/>
      <c r="Y32" s="97"/>
      <c r="Z32" s="97"/>
      <c r="AA32" s="97"/>
      <c r="AB32" s="97"/>
      <c r="AC32" s="97"/>
      <c r="AD32" s="97"/>
      <c r="AE32" s="113"/>
    </row>
    <row r="33" spans="2:31" x14ac:dyDescent="0.5">
      <c r="B33" s="86">
        <v>700</v>
      </c>
      <c r="C33" s="86">
        <v>0.28000000000000003</v>
      </c>
      <c r="D33" s="86">
        <v>18000</v>
      </c>
      <c r="E33" s="86">
        <v>5</v>
      </c>
      <c r="F33" s="86">
        <v>0.17</v>
      </c>
      <c r="H33" s="99" t="s">
        <v>85</v>
      </c>
      <c r="I33" s="97" t="s">
        <v>86</v>
      </c>
      <c r="J33" s="97"/>
      <c r="K33" s="97"/>
      <c r="L33" s="97"/>
      <c r="M33" s="97"/>
      <c r="N33" s="97"/>
      <c r="O33" s="97"/>
      <c r="P33" s="97"/>
      <c r="Q33" s="97"/>
      <c r="R33" s="97"/>
      <c r="S33" s="97"/>
      <c r="T33" s="97"/>
      <c r="U33" s="97"/>
      <c r="V33" s="97"/>
      <c r="W33" s="97"/>
      <c r="X33" s="97"/>
      <c r="Y33" s="97"/>
      <c r="Z33" s="97"/>
      <c r="AA33" s="97"/>
      <c r="AB33" s="97"/>
      <c r="AC33" s="97"/>
      <c r="AD33" s="97"/>
      <c r="AE33" s="113"/>
    </row>
    <row r="34" spans="2:31" x14ac:dyDescent="0.5">
      <c r="B34" s="86">
        <v>680</v>
      </c>
      <c r="C34" s="86">
        <v>0.33</v>
      </c>
      <c r="D34" s="86">
        <v>22000</v>
      </c>
      <c r="E34" s="86">
        <v>4</v>
      </c>
      <c r="F34" s="86">
        <v>0.23</v>
      </c>
      <c r="H34" s="114"/>
      <c r="I34" s="97"/>
      <c r="J34" s="97"/>
      <c r="K34" s="97"/>
      <c r="L34" s="97"/>
      <c r="M34" s="97"/>
      <c r="N34" s="97"/>
      <c r="O34" s="97"/>
      <c r="P34" s="97"/>
      <c r="Q34" s="97"/>
      <c r="R34" s="97"/>
      <c r="S34" s="97"/>
      <c r="T34" s="97"/>
      <c r="U34" s="97"/>
      <c r="V34" s="97"/>
      <c r="W34" s="97"/>
      <c r="X34" s="97"/>
      <c r="Y34" s="97"/>
      <c r="Z34" s="97"/>
      <c r="AA34" s="97"/>
      <c r="AB34" s="97"/>
      <c r="AC34" s="97"/>
      <c r="AD34" s="97"/>
      <c r="AE34" s="113"/>
    </row>
    <row r="35" spans="2:31" x14ac:dyDescent="0.5">
      <c r="B35" s="86">
        <v>720</v>
      </c>
      <c r="C35" s="86">
        <v>0.22</v>
      </c>
      <c r="D35" s="86">
        <v>16000</v>
      </c>
      <c r="E35" s="86">
        <v>7</v>
      </c>
      <c r="F35" s="86">
        <v>0.1</v>
      </c>
      <c r="H35" s="106" t="s">
        <v>87</v>
      </c>
      <c r="I35" s="106"/>
      <c r="J35" s="95"/>
      <c r="K35" s="119"/>
      <c r="L35" s="119"/>
      <c r="M35" s="119"/>
      <c r="N35" s="119"/>
      <c r="O35" s="119"/>
      <c r="P35" s="119"/>
      <c r="Q35" s="119"/>
      <c r="R35" s="119"/>
      <c r="S35" s="119"/>
      <c r="T35" s="119"/>
      <c r="U35" s="119"/>
      <c r="V35" s="97"/>
      <c r="W35" s="97"/>
      <c r="X35" s="97"/>
      <c r="Y35" s="97"/>
      <c r="Z35" s="97"/>
      <c r="AA35" s="97"/>
      <c r="AB35" s="97"/>
      <c r="AC35" s="97"/>
      <c r="AD35" s="97"/>
      <c r="AE35" s="113"/>
    </row>
    <row r="36" spans="2:31" x14ac:dyDescent="0.5">
      <c r="B36" s="86">
        <v>660</v>
      </c>
      <c r="C36" s="86">
        <v>0.36</v>
      </c>
      <c r="D36" s="86">
        <v>26000</v>
      </c>
      <c r="E36" s="86">
        <v>3</v>
      </c>
      <c r="F36" s="86">
        <v>0.28999999999999998</v>
      </c>
      <c r="H36" s="91" t="s">
        <v>88</v>
      </c>
      <c r="I36" s="91" t="s">
        <v>89</v>
      </c>
      <c r="J36" s="120" t="s">
        <v>75</v>
      </c>
      <c r="K36" s="121" t="s">
        <v>82</v>
      </c>
      <c r="L36" s="121"/>
      <c r="M36" s="119"/>
      <c r="N36" s="119"/>
      <c r="O36" s="119"/>
      <c r="P36" s="119"/>
      <c r="Q36" s="119"/>
      <c r="R36" s="119"/>
      <c r="S36" s="119"/>
      <c r="T36" s="119"/>
      <c r="U36" s="119"/>
      <c r="V36" s="97"/>
      <c r="W36" s="97"/>
      <c r="X36" s="97"/>
      <c r="Y36" s="97"/>
      <c r="Z36" s="97"/>
      <c r="AA36" s="97"/>
      <c r="AB36" s="97"/>
      <c r="AC36" s="97"/>
      <c r="AD36" s="97"/>
      <c r="AE36" s="113"/>
    </row>
    <row r="37" spans="2:31" x14ac:dyDescent="0.5">
      <c r="B37" s="86">
        <v>750</v>
      </c>
      <c r="C37" s="86">
        <v>0.18</v>
      </c>
      <c r="D37" s="86">
        <v>11000</v>
      </c>
      <c r="E37" s="86">
        <v>10</v>
      </c>
      <c r="F37" s="86">
        <v>0.06</v>
      </c>
      <c r="H37" s="95" t="s">
        <v>78</v>
      </c>
      <c r="I37" s="95" t="s">
        <v>90</v>
      </c>
      <c r="J37" s="92" t="s">
        <v>91</v>
      </c>
      <c r="K37" s="99" t="s">
        <v>92</v>
      </c>
      <c r="L37" s="97"/>
      <c r="M37" s="97"/>
      <c r="N37" s="97"/>
      <c r="O37" s="97"/>
      <c r="P37" s="97"/>
      <c r="Q37" s="97"/>
      <c r="R37" s="97"/>
      <c r="S37" s="97"/>
      <c r="T37" s="97"/>
      <c r="U37" s="113"/>
      <c r="V37" s="97"/>
      <c r="W37" s="97"/>
      <c r="X37" s="97"/>
      <c r="Y37" s="97"/>
      <c r="Z37" s="97"/>
      <c r="AA37" s="97"/>
      <c r="AB37" s="97"/>
      <c r="AC37" s="97"/>
      <c r="AD37" s="97"/>
      <c r="AE37" s="113"/>
    </row>
    <row r="38" spans="2:31" x14ac:dyDescent="0.5">
      <c r="B38" s="86">
        <v>630</v>
      </c>
      <c r="C38" s="86">
        <v>0.42</v>
      </c>
      <c r="D38" s="86">
        <v>31000</v>
      </c>
      <c r="E38" s="86">
        <v>1</v>
      </c>
      <c r="F38" s="86">
        <v>0.35</v>
      </c>
      <c r="H38" s="95" t="s">
        <v>0</v>
      </c>
      <c r="I38" s="95" t="s">
        <v>93</v>
      </c>
      <c r="J38" s="92" t="s">
        <v>94</v>
      </c>
      <c r="K38" s="99" t="s">
        <v>95</v>
      </c>
      <c r="L38" s="97"/>
      <c r="M38" s="97"/>
      <c r="N38" s="97"/>
      <c r="O38" s="97"/>
      <c r="P38" s="97"/>
      <c r="Q38" s="97"/>
      <c r="R38" s="97"/>
      <c r="S38" s="97"/>
      <c r="T38" s="97"/>
      <c r="U38" s="113"/>
      <c r="V38" s="97"/>
      <c r="W38" s="97"/>
      <c r="X38" s="97"/>
      <c r="Y38" s="97"/>
      <c r="Z38" s="97"/>
      <c r="AA38" s="97"/>
      <c r="AB38" s="97"/>
      <c r="AC38" s="97"/>
      <c r="AD38" s="97"/>
      <c r="AE38" s="113"/>
    </row>
    <row r="39" spans="2:31" x14ac:dyDescent="0.5">
      <c r="B39" s="86">
        <v>710</v>
      </c>
      <c r="C39" s="86">
        <v>0.27</v>
      </c>
      <c r="D39" s="86">
        <v>17000</v>
      </c>
      <c r="E39" s="86">
        <v>5</v>
      </c>
      <c r="F39" s="86">
        <v>0.15</v>
      </c>
      <c r="H39" s="95" t="s">
        <v>1</v>
      </c>
      <c r="I39" s="95" t="s">
        <v>96</v>
      </c>
      <c r="J39" s="92" t="s">
        <v>94</v>
      </c>
      <c r="K39" s="99" t="s">
        <v>97</v>
      </c>
      <c r="L39" s="97"/>
      <c r="M39" s="97"/>
      <c r="N39" s="97"/>
      <c r="O39" s="97"/>
      <c r="P39" s="97"/>
      <c r="Q39" s="97"/>
      <c r="R39" s="97"/>
      <c r="S39" s="97"/>
      <c r="T39" s="97"/>
      <c r="U39" s="113"/>
      <c r="V39" s="97"/>
      <c r="W39" s="97"/>
      <c r="X39" s="97"/>
      <c r="Y39" s="97"/>
      <c r="Z39" s="97"/>
      <c r="AA39" s="97"/>
      <c r="AB39" s="97"/>
      <c r="AC39" s="97"/>
      <c r="AD39" s="97"/>
      <c r="AE39" s="113"/>
    </row>
    <row r="40" spans="2:31" x14ac:dyDescent="0.5">
      <c r="B40" s="86">
        <v>670</v>
      </c>
      <c r="C40" s="86">
        <v>0.34</v>
      </c>
      <c r="D40" s="86">
        <v>24000</v>
      </c>
      <c r="E40" s="86">
        <v>3</v>
      </c>
      <c r="F40" s="86">
        <v>0.27</v>
      </c>
      <c r="H40" s="95" t="s">
        <v>2</v>
      </c>
      <c r="I40" s="95" t="s">
        <v>98</v>
      </c>
      <c r="J40" s="92" t="s">
        <v>99</v>
      </c>
      <c r="K40" s="99" t="s">
        <v>100</v>
      </c>
      <c r="L40" s="97"/>
      <c r="M40" s="97"/>
      <c r="N40" s="97"/>
      <c r="O40" s="97"/>
      <c r="P40" s="97"/>
      <c r="Q40" s="97"/>
      <c r="R40" s="97"/>
      <c r="S40" s="97"/>
      <c r="T40" s="97"/>
      <c r="U40" s="113"/>
      <c r="V40" s="97"/>
      <c r="W40" s="97"/>
      <c r="X40" s="97"/>
      <c r="Y40" s="97"/>
      <c r="Z40" s="97"/>
      <c r="AA40" s="97"/>
      <c r="AB40" s="97"/>
      <c r="AC40" s="97"/>
      <c r="AD40" s="97"/>
      <c r="AE40" s="113"/>
    </row>
    <row r="41" spans="2:31" x14ac:dyDescent="0.5">
      <c r="B41" s="86">
        <v>740</v>
      </c>
      <c r="C41" s="86">
        <v>0.21</v>
      </c>
      <c r="D41" s="86">
        <v>13000</v>
      </c>
      <c r="E41" s="86">
        <v>8</v>
      </c>
      <c r="F41" s="86">
        <v>0.09</v>
      </c>
      <c r="H41" s="95" t="s">
        <v>3</v>
      </c>
      <c r="I41" s="95" t="s">
        <v>101</v>
      </c>
      <c r="J41" s="92" t="s">
        <v>94</v>
      </c>
      <c r="K41" s="99" t="s">
        <v>102</v>
      </c>
      <c r="L41" s="97"/>
      <c r="M41" s="97"/>
      <c r="N41" s="97"/>
      <c r="O41" s="97"/>
      <c r="P41" s="97"/>
      <c r="Q41" s="97"/>
      <c r="R41" s="97"/>
      <c r="S41" s="97"/>
      <c r="T41" s="97"/>
      <c r="U41" s="113"/>
      <c r="V41" s="97"/>
      <c r="W41" s="97"/>
      <c r="X41" s="97"/>
      <c r="Y41" s="97"/>
      <c r="Z41" s="97"/>
      <c r="AA41" s="97"/>
      <c r="AB41" s="97"/>
      <c r="AC41" s="97"/>
      <c r="AD41" s="97"/>
      <c r="AE41" s="113"/>
    </row>
    <row r="42" spans="2:31" x14ac:dyDescent="0.5">
      <c r="B42" s="86">
        <v>620</v>
      </c>
      <c r="C42" s="86">
        <v>0.45</v>
      </c>
      <c r="D42" s="86">
        <v>35000</v>
      </c>
      <c r="E42" s="86">
        <v>2</v>
      </c>
      <c r="F42" s="86">
        <v>0.4</v>
      </c>
      <c r="H42" s="95"/>
      <c r="I42" s="95"/>
      <c r="J42" s="92"/>
      <c r="K42" s="117"/>
      <c r="L42" s="102"/>
      <c r="M42" s="102"/>
      <c r="N42" s="102"/>
      <c r="O42" s="102"/>
      <c r="P42" s="102"/>
      <c r="Q42" s="102"/>
      <c r="R42" s="102"/>
      <c r="S42" s="102"/>
      <c r="T42" s="102"/>
      <c r="U42" s="118"/>
      <c r="V42" s="97"/>
      <c r="W42" s="97"/>
      <c r="X42" s="97"/>
      <c r="Y42" s="97"/>
      <c r="Z42" s="97"/>
      <c r="AA42" s="97"/>
      <c r="AB42" s="97"/>
      <c r="AC42" s="97"/>
      <c r="AD42" s="97"/>
      <c r="AE42" s="113"/>
    </row>
    <row r="43" spans="2:31" x14ac:dyDescent="0.5">
      <c r="B43" s="86">
        <v>700</v>
      </c>
      <c r="C43" s="86">
        <v>0.28999999999999998</v>
      </c>
      <c r="D43" s="86">
        <v>19000</v>
      </c>
      <c r="E43" s="86">
        <v>5</v>
      </c>
      <c r="F43" s="86">
        <v>0.16</v>
      </c>
      <c r="H43" s="122" t="s">
        <v>130</v>
      </c>
      <c r="I43" s="123"/>
      <c r="J43" s="123"/>
      <c r="K43" s="123"/>
      <c r="L43" s="123"/>
      <c r="M43" s="123"/>
      <c r="N43" s="123"/>
      <c r="O43" s="123"/>
      <c r="P43" s="123"/>
      <c r="Q43" s="123"/>
      <c r="R43" s="123"/>
      <c r="S43" s="123"/>
      <c r="T43" s="97"/>
      <c r="U43" s="97"/>
      <c r="V43" s="97"/>
      <c r="W43" s="97"/>
      <c r="X43" s="97"/>
      <c r="Y43" s="97"/>
      <c r="Z43" s="97"/>
      <c r="AA43" s="97"/>
      <c r="AB43" s="97"/>
      <c r="AC43" s="97"/>
      <c r="AD43" s="97"/>
      <c r="AE43" s="113"/>
    </row>
    <row r="44" spans="2:31" x14ac:dyDescent="0.5">
      <c r="B44" s="86">
        <v>680</v>
      </c>
      <c r="C44" s="86">
        <v>0.32</v>
      </c>
      <c r="D44" s="86">
        <v>23000</v>
      </c>
      <c r="E44" s="86">
        <v>4</v>
      </c>
      <c r="F44" s="86">
        <v>0.24</v>
      </c>
      <c r="H44" s="122"/>
      <c r="I44" s="123"/>
      <c r="J44" s="123"/>
      <c r="K44" s="123"/>
      <c r="L44" s="123"/>
      <c r="M44" s="123"/>
      <c r="N44" s="123"/>
      <c r="O44" s="123"/>
      <c r="P44" s="123"/>
      <c r="Q44" s="123"/>
      <c r="R44" s="123"/>
      <c r="S44" s="123"/>
      <c r="AE44" s="94"/>
    </row>
    <row r="45" spans="2:31" x14ac:dyDescent="0.5">
      <c r="B45" s="86">
        <v>710</v>
      </c>
      <c r="C45" s="86">
        <v>0.24</v>
      </c>
      <c r="D45" s="86">
        <v>15000</v>
      </c>
      <c r="E45" s="86">
        <v>7</v>
      </c>
      <c r="F45" s="86">
        <v>0.11</v>
      </c>
      <c r="H45" s="124"/>
      <c r="J45" s="125" t="s">
        <v>103</v>
      </c>
      <c r="K45" s="125"/>
      <c r="AE45" s="94"/>
    </row>
    <row r="46" spans="2:31" x14ac:dyDescent="0.5">
      <c r="B46" s="86">
        <v>650</v>
      </c>
      <c r="C46" s="86">
        <v>0.37</v>
      </c>
      <c r="D46" s="86">
        <v>27000</v>
      </c>
      <c r="E46" s="86">
        <v>2</v>
      </c>
      <c r="F46" s="86">
        <v>0.3</v>
      </c>
      <c r="H46" s="126" t="s">
        <v>104</v>
      </c>
      <c r="I46" s="127"/>
      <c r="J46" s="127"/>
      <c r="K46" s="127"/>
      <c r="L46" s="127"/>
      <c r="M46" s="127"/>
      <c r="N46" s="127"/>
      <c r="O46" s="127"/>
      <c r="P46" s="127"/>
      <c r="Q46" s="127"/>
      <c r="AE46" s="94"/>
    </row>
    <row r="47" spans="2:31" x14ac:dyDescent="0.5">
      <c r="B47" s="86">
        <v>760</v>
      </c>
      <c r="C47" s="86">
        <v>0.19</v>
      </c>
      <c r="D47" s="86">
        <v>12000</v>
      </c>
      <c r="E47" s="86">
        <v>9</v>
      </c>
      <c r="F47" s="86">
        <v>7.0000000000000007E-2</v>
      </c>
      <c r="H47" s="128"/>
      <c r="I47" s="127"/>
      <c r="J47" s="127"/>
      <c r="K47" s="127"/>
      <c r="L47" s="127"/>
      <c r="M47" s="127"/>
      <c r="N47" s="127"/>
      <c r="O47" s="127"/>
      <c r="P47" s="127"/>
      <c r="Q47" s="127"/>
      <c r="AE47" s="94"/>
    </row>
    <row r="48" spans="2:31" x14ac:dyDescent="0.5">
      <c r="B48" s="86">
        <v>620</v>
      </c>
      <c r="C48" s="86">
        <v>0.41</v>
      </c>
      <c r="D48" s="86">
        <v>34000</v>
      </c>
      <c r="E48" s="86">
        <v>1</v>
      </c>
      <c r="F48" s="86">
        <v>0.39</v>
      </c>
      <c r="H48" s="128"/>
      <c r="I48" s="127"/>
      <c r="J48" s="127"/>
      <c r="K48" s="127"/>
      <c r="L48" s="127"/>
      <c r="M48" s="127"/>
      <c r="N48" s="127"/>
      <c r="O48" s="127"/>
      <c r="P48" s="127"/>
      <c r="Q48" s="127"/>
      <c r="AE48" s="94"/>
    </row>
    <row r="49" spans="2:31" x14ac:dyDescent="0.5">
      <c r="B49" s="86">
        <v>730</v>
      </c>
      <c r="C49" s="86">
        <v>0.23</v>
      </c>
      <c r="D49" s="86">
        <v>14000</v>
      </c>
      <c r="E49" s="86">
        <v>6</v>
      </c>
      <c r="F49" s="86">
        <v>0.13</v>
      </c>
      <c r="H49" s="128"/>
      <c r="I49" s="127"/>
      <c r="J49" s="127"/>
      <c r="K49" s="127"/>
      <c r="L49" s="127"/>
      <c r="M49" s="127"/>
      <c r="N49" s="127"/>
      <c r="O49" s="127"/>
      <c r="P49" s="127"/>
      <c r="Q49" s="127"/>
      <c r="AE49" s="94"/>
    </row>
    <row r="50" spans="2:31" x14ac:dyDescent="0.5">
      <c r="B50" s="86">
        <v>670</v>
      </c>
      <c r="C50" s="86">
        <v>0.35</v>
      </c>
      <c r="D50" s="86">
        <v>25000</v>
      </c>
      <c r="E50" s="86">
        <v>3</v>
      </c>
      <c r="F50" s="86">
        <v>0.26</v>
      </c>
      <c r="H50" s="128"/>
      <c r="I50" s="127"/>
      <c r="J50" s="127"/>
      <c r="K50" s="127"/>
      <c r="L50" s="127"/>
      <c r="M50" s="127"/>
      <c r="N50" s="127"/>
      <c r="O50" s="127"/>
      <c r="P50" s="127"/>
      <c r="Q50" s="127"/>
      <c r="AE50" s="94"/>
    </row>
    <row r="51" spans="2:31" x14ac:dyDescent="0.5">
      <c r="B51" s="86">
        <v>740</v>
      </c>
      <c r="C51" s="86">
        <v>0.2</v>
      </c>
      <c r="D51" s="86">
        <v>13000</v>
      </c>
      <c r="E51" s="86">
        <v>8</v>
      </c>
      <c r="F51" s="86">
        <v>0.08</v>
      </c>
      <c r="H51" s="128"/>
      <c r="I51" s="127"/>
      <c r="J51" s="127"/>
      <c r="K51" s="127"/>
      <c r="L51" s="127"/>
      <c r="M51" s="127"/>
      <c r="N51" s="127"/>
      <c r="O51" s="127"/>
      <c r="P51" s="127"/>
      <c r="Q51" s="127"/>
      <c r="AE51" s="94"/>
    </row>
    <row r="52" spans="2:31" x14ac:dyDescent="0.5">
      <c r="B52" s="86">
        <v>610</v>
      </c>
      <c r="C52" s="86">
        <v>0.44</v>
      </c>
      <c r="D52" s="86">
        <v>33000</v>
      </c>
      <c r="E52" s="86">
        <v>2</v>
      </c>
      <c r="F52" s="86">
        <v>0.37</v>
      </c>
      <c r="H52" s="128"/>
      <c r="I52" s="127"/>
      <c r="J52" s="127"/>
      <c r="K52" s="127"/>
      <c r="L52" s="127"/>
      <c r="M52" s="127"/>
      <c r="N52" s="127"/>
      <c r="O52" s="127"/>
      <c r="P52" s="127"/>
      <c r="Q52" s="127"/>
      <c r="AE52" s="94"/>
    </row>
    <row r="53" spans="2:31" x14ac:dyDescent="0.5">
      <c r="B53" s="86">
        <v>700</v>
      </c>
      <c r="C53" s="86">
        <v>0.28000000000000003</v>
      </c>
      <c r="D53" s="86">
        <v>18000</v>
      </c>
      <c r="E53" s="86">
        <v>5</v>
      </c>
      <c r="F53" s="86">
        <v>0.17</v>
      </c>
      <c r="H53" s="129"/>
      <c r="I53" s="130"/>
      <c r="J53" s="130"/>
      <c r="K53" s="130"/>
      <c r="L53" s="130"/>
      <c r="M53" s="130"/>
      <c r="N53" s="130"/>
      <c r="O53" s="130"/>
      <c r="P53" s="130"/>
      <c r="Q53" s="130"/>
      <c r="R53" s="103"/>
      <c r="S53" s="103"/>
      <c r="T53" s="103"/>
      <c r="U53" s="103"/>
      <c r="V53" s="103"/>
      <c r="W53" s="103"/>
      <c r="X53" s="103"/>
      <c r="Y53" s="103"/>
      <c r="Z53" s="103"/>
      <c r="AA53" s="103"/>
      <c r="AB53" s="103"/>
      <c r="AC53" s="103"/>
      <c r="AD53" s="103"/>
      <c r="AE53" s="104"/>
    </row>
    <row r="54" spans="2:31" x14ac:dyDescent="0.5">
      <c r="B54" s="86">
        <v>680</v>
      </c>
      <c r="C54" s="86">
        <v>0.33</v>
      </c>
      <c r="D54" s="86">
        <v>22000</v>
      </c>
      <c r="E54" s="86">
        <v>4</v>
      </c>
      <c r="F54" s="86">
        <v>0.23</v>
      </c>
    </row>
    <row r="55" spans="2:31" x14ac:dyDescent="0.5">
      <c r="B55" s="86">
        <v>720</v>
      </c>
      <c r="C55" s="86">
        <v>0.22</v>
      </c>
      <c r="D55" s="86">
        <v>16000</v>
      </c>
      <c r="E55" s="86">
        <v>7</v>
      </c>
      <c r="F55" s="86">
        <v>0.1</v>
      </c>
    </row>
    <row r="56" spans="2:31" x14ac:dyDescent="0.5">
      <c r="B56" s="86">
        <v>660</v>
      </c>
      <c r="C56" s="86">
        <v>0.36</v>
      </c>
      <c r="D56" s="86">
        <v>26000</v>
      </c>
      <c r="E56" s="86">
        <v>3</v>
      </c>
      <c r="F56" s="86">
        <v>0.28999999999999998</v>
      </c>
    </row>
    <row r="57" spans="2:31" x14ac:dyDescent="0.5">
      <c r="B57" s="86">
        <v>750</v>
      </c>
      <c r="C57" s="86">
        <v>0.18</v>
      </c>
      <c r="D57" s="86">
        <v>11000</v>
      </c>
      <c r="E57" s="86">
        <v>10</v>
      </c>
      <c r="F57" s="86">
        <v>0.06</v>
      </c>
    </row>
    <row r="58" spans="2:31" x14ac:dyDescent="0.5">
      <c r="B58" s="86">
        <v>630</v>
      </c>
      <c r="C58" s="86">
        <v>0.42</v>
      </c>
      <c r="D58" s="86">
        <v>31000</v>
      </c>
      <c r="E58" s="86">
        <v>1</v>
      </c>
      <c r="F58" s="86">
        <v>0.35</v>
      </c>
    </row>
    <row r="59" spans="2:31" x14ac:dyDescent="0.5">
      <c r="B59" s="86">
        <v>710</v>
      </c>
      <c r="C59" s="86">
        <v>0.27</v>
      </c>
      <c r="D59" s="86">
        <v>17000</v>
      </c>
      <c r="E59" s="86">
        <v>5</v>
      </c>
      <c r="F59" s="86">
        <v>0.15</v>
      </c>
    </row>
    <row r="60" spans="2:31" x14ac:dyDescent="0.5">
      <c r="B60" s="86">
        <v>670</v>
      </c>
      <c r="C60" s="86">
        <v>0.34</v>
      </c>
      <c r="D60" s="86">
        <v>24000</v>
      </c>
      <c r="E60" s="86">
        <v>3</v>
      </c>
      <c r="F60" s="86">
        <v>0.27</v>
      </c>
    </row>
    <row r="61" spans="2:31" x14ac:dyDescent="0.5">
      <c r="B61" s="86">
        <v>740</v>
      </c>
      <c r="C61" s="86">
        <v>0.21</v>
      </c>
      <c r="D61" s="86">
        <v>13000</v>
      </c>
      <c r="E61" s="86">
        <v>8</v>
      </c>
      <c r="F61" s="86">
        <v>0.09</v>
      </c>
    </row>
    <row r="62" spans="2:31" x14ac:dyDescent="0.5">
      <c r="B62" s="86">
        <v>620</v>
      </c>
      <c r="C62" s="86">
        <v>0.45</v>
      </c>
      <c r="D62" s="86">
        <v>35000</v>
      </c>
      <c r="E62" s="86">
        <v>2</v>
      </c>
      <c r="F62" s="86">
        <v>0.4</v>
      </c>
    </row>
    <row r="63" spans="2:31" x14ac:dyDescent="0.5">
      <c r="B63" s="86">
        <v>700</v>
      </c>
      <c r="C63" s="86">
        <v>0.28999999999999998</v>
      </c>
      <c r="D63" s="86">
        <v>19000</v>
      </c>
      <c r="E63" s="86">
        <v>5</v>
      </c>
      <c r="F63" s="86">
        <v>0.16</v>
      </c>
    </row>
    <row r="64" spans="2:31" x14ac:dyDescent="0.5">
      <c r="B64" s="86">
        <v>680</v>
      </c>
      <c r="C64" s="86">
        <v>0.32</v>
      </c>
      <c r="D64" s="86">
        <v>23000</v>
      </c>
      <c r="E64" s="86">
        <v>4</v>
      </c>
      <c r="F64" s="86">
        <v>0.24</v>
      </c>
    </row>
    <row r="65" spans="2:6" x14ac:dyDescent="0.5">
      <c r="B65" s="86">
        <v>710</v>
      </c>
      <c r="C65" s="86">
        <v>0.24</v>
      </c>
      <c r="D65" s="86">
        <v>15000</v>
      </c>
      <c r="E65" s="86">
        <v>7</v>
      </c>
      <c r="F65" s="86">
        <v>0.11</v>
      </c>
    </row>
    <row r="66" spans="2:6" x14ac:dyDescent="0.5">
      <c r="B66" s="86">
        <v>650</v>
      </c>
      <c r="C66" s="86">
        <v>0.37</v>
      </c>
      <c r="D66" s="86">
        <v>27000</v>
      </c>
      <c r="E66" s="86">
        <v>2</v>
      </c>
      <c r="F66" s="86">
        <v>0.3</v>
      </c>
    </row>
    <row r="67" spans="2:6" x14ac:dyDescent="0.5">
      <c r="B67" s="86">
        <v>760</v>
      </c>
      <c r="C67" s="86">
        <v>0.19</v>
      </c>
      <c r="D67" s="86">
        <v>12000</v>
      </c>
      <c r="E67" s="86">
        <v>9</v>
      </c>
      <c r="F67" s="86">
        <v>7.0000000000000007E-2</v>
      </c>
    </row>
    <row r="68" spans="2:6" x14ac:dyDescent="0.5">
      <c r="B68" s="86">
        <v>620</v>
      </c>
      <c r="C68" s="86">
        <v>0.41</v>
      </c>
      <c r="D68" s="86">
        <v>34000</v>
      </c>
      <c r="E68" s="86">
        <v>1</v>
      </c>
      <c r="F68" s="86">
        <v>0.39</v>
      </c>
    </row>
    <row r="69" spans="2:6" x14ac:dyDescent="0.5">
      <c r="B69" s="86">
        <v>730</v>
      </c>
      <c r="C69" s="86">
        <v>0.23</v>
      </c>
      <c r="D69" s="86">
        <v>14000</v>
      </c>
      <c r="E69" s="86">
        <v>6</v>
      </c>
      <c r="F69" s="86">
        <v>0.13</v>
      </c>
    </row>
    <row r="70" spans="2:6" x14ac:dyDescent="0.5">
      <c r="B70" s="86">
        <v>670</v>
      </c>
      <c r="C70" s="86">
        <v>0.35</v>
      </c>
      <c r="D70" s="86">
        <v>25000</v>
      </c>
      <c r="E70" s="86">
        <v>3</v>
      </c>
      <c r="F70" s="86">
        <v>0.26</v>
      </c>
    </row>
    <row r="71" spans="2:6" x14ac:dyDescent="0.5">
      <c r="B71" s="86">
        <v>740</v>
      </c>
      <c r="C71" s="86">
        <v>0.2</v>
      </c>
      <c r="D71" s="86">
        <v>13000</v>
      </c>
      <c r="E71" s="86">
        <v>8</v>
      </c>
      <c r="F71" s="86">
        <v>0.08</v>
      </c>
    </row>
    <row r="72" spans="2:6" x14ac:dyDescent="0.5">
      <c r="B72" s="86">
        <v>610</v>
      </c>
      <c r="C72" s="86">
        <v>0.44</v>
      </c>
      <c r="D72" s="86">
        <v>33000</v>
      </c>
      <c r="E72" s="86">
        <v>2</v>
      </c>
      <c r="F72" s="86">
        <v>0.37</v>
      </c>
    </row>
    <row r="73" spans="2:6" x14ac:dyDescent="0.5">
      <c r="B73" s="86">
        <v>700</v>
      </c>
      <c r="C73" s="86">
        <v>0.28000000000000003</v>
      </c>
      <c r="D73" s="86">
        <v>18000</v>
      </c>
      <c r="E73" s="86">
        <v>5</v>
      </c>
      <c r="F73" s="86">
        <v>0.17</v>
      </c>
    </row>
    <row r="74" spans="2:6" x14ac:dyDescent="0.5">
      <c r="B74" s="86">
        <v>680</v>
      </c>
      <c r="C74" s="86">
        <v>0.33</v>
      </c>
      <c r="D74" s="86">
        <v>22000</v>
      </c>
      <c r="E74" s="86">
        <v>4</v>
      </c>
      <c r="F74" s="86">
        <v>0.23</v>
      </c>
    </row>
    <row r="75" spans="2:6" x14ac:dyDescent="0.5">
      <c r="B75" s="86">
        <v>720</v>
      </c>
      <c r="C75" s="86">
        <v>0.22</v>
      </c>
      <c r="D75" s="86">
        <v>16000</v>
      </c>
      <c r="E75" s="86">
        <v>7</v>
      </c>
      <c r="F75" s="86">
        <v>0.1</v>
      </c>
    </row>
    <row r="76" spans="2:6" x14ac:dyDescent="0.5">
      <c r="B76" s="86">
        <v>660</v>
      </c>
      <c r="C76" s="86">
        <v>0.36</v>
      </c>
      <c r="D76" s="86">
        <v>26000</v>
      </c>
      <c r="E76" s="86">
        <v>3</v>
      </c>
      <c r="F76" s="86">
        <v>0.28999999999999998</v>
      </c>
    </row>
    <row r="77" spans="2:6" x14ac:dyDescent="0.5">
      <c r="B77" s="86">
        <v>750</v>
      </c>
      <c r="C77" s="86">
        <v>0.18</v>
      </c>
      <c r="D77" s="86">
        <v>11000</v>
      </c>
      <c r="E77" s="86">
        <v>10</v>
      </c>
      <c r="F77" s="86">
        <v>0.06</v>
      </c>
    </row>
    <row r="78" spans="2:6" x14ac:dyDescent="0.5">
      <c r="B78" s="86">
        <v>630</v>
      </c>
      <c r="C78" s="86">
        <v>0.42</v>
      </c>
      <c r="D78" s="86">
        <v>31000</v>
      </c>
      <c r="E78" s="86">
        <v>1</v>
      </c>
      <c r="F78" s="86">
        <v>0.35</v>
      </c>
    </row>
    <row r="79" spans="2:6" x14ac:dyDescent="0.5">
      <c r="B79" s="86">
        <v>710</v>
      </c>
      <c r="C79" s="86">
        <v>0.27</v>
      </c>
      <c r="D79" s="86">
        <v>17000</v>
      </c>
      <c r="E79" s="86">
        <v>5</v>
      </c>
      <c r="F79" s="86">
        <v>0.15</v>
      </c>
    </row>
    <row r="80" spans="2:6" x14ac:dyDescent="0.5">
      <c r="B80" s="86">
        <v>670</v>
      </c>
      <c r="C80" s="86">
        <v>0.34</v>
      </c>
      <c r="D80" s="86">
        <v>24000</v>
      </c>
      <c r="E80" s="86">
        <v>3</v>
      </c>
      <c r="F80" s="86">
        <v>0.27</v>
      </c>
    </row>
    <row r="81" spans="2:6" x14ac:dyDescent="0.5">
      <c r="B81" s="86">
        <v>740</v>
      </c>
      <c r="C81" s="86">
        <v>0.21</v>
      </c>
      <c r="D81" s="86">
        <v>13000</v>
      </c>
      <c r="E81" s="86">
        <v>8</v>
      </c>
      <c r="F81" s="86">
        <v>0.09</v>
      </c>
    </row>
    <row r="82" spans="2:6" x14ac:dyDescent="0.5">
      <c r="B82" s="86">
        <v>620</v>
      </c>
      <c r="C82" s="86">
        <v>0.45</v>
      </c>
      <c r="D82" s="86">
        <v>35000</v>
      </c>
      <c r="E82" s="86">
        <v>2</v>
      </c>
      <c r="F82" s="86">
        <v>0.4</v>
      </c>
    </row>
    <row r="83" spans="2:6" x14ac:dyDescent="0.5">
      <c r="B83" s="86">
        <v>700</v>
      </c>
      <c r="C83" s="86">
        <v>0.28999999999999998</v>
      </c>
      <c r="D83" s="86">
        <v>19000</v>
      </c>
      <c r="E83" s="86">
        <v>5</v>
      </c>
      <c r="F83" s="86">
        <v>0.16</v>
      </c>
    </row>
    <row r="84" spans="2:6" x14ac:dyDescent="0.5">
      <c r="B84" s="86">
        <v>680</v>
      </c>
      <c r="C84" s="86">
        <v>0.32</v>
      </c>
      <c r="D84" s="86">
        <v>23000</v>
      </c>
      <c r="E84" s="86">
        <v>4</v>
      </c>
      <c r="F84" s="86">
        <v>0.24</v>
      </c>
    </row>
    <row r="85" spans="2:6" x14ac:dyDescent="0.5">
      <c r="B85" s="86">
        <v>710</v>
      </c>
      <c r="C85" s="86">
        <v>0.24</v>
      </c>
      <c r="D85" s="86">
        <v>15000</v>
      </c>
      <c r="E85" s="86">
        <v>7</v>
      </c>
      <c r="F85" s="86">
        <v>0.11</v>
      </c>
    </row>
    <row r="86" spans="2:6" x14ac:dyDescent="0.5">
      <c r="B86" s="86">
        <v>650</v>
      </c>
      <c r="C86" s="86">
        <v>0.37</v>
      </c>
      <c r="D86" s="86">
        <v>27000</v>
      </c>
      <c r="E86" s="86">
        <v>2</v>
      </c>
      <c r="F86" s="86">
        <v>0.3</v>
      </c>
    </row>
    <row r="87" spans="2:6" x14ac:dyDescent="0.5">
      <c r="B87" s="86">
        <v>760</v>
      </c>
      <c r="C87" s="86">
        <v>0.19</v>
      </c>
      <c r="D87" s="86">
        <v>12000</v>
      </c>
      <c r="E87" s="86">
        <v>9</v>
      </c>
      <c r="F87" s="86">
        <v>7.0000000000000007E-2</v>
      </c>
    </row>
    <row r="88" spans="2:6" x14ac:dyDescent="0.5">
      <c r="B88" s="86">
        <v>620</v>
      </c>
      <c r="C88" s="86">
        <v>0.41</v>
      </c>
      <c r="D88" s="86">
        <v>34000</v>
      </c>
      <c r="E88" s="86">
        <v>1</v>
      </c>
      <c r="F88" s="86">
        <v>0.39</v>
      </c>
    </row>
    <row r="89" spans="2:6" x14ac:dyDescent="0.5">
      <c r="B89" s="86">
        <v>730</v>
      </c>
      <c r="C89" s="86">
        <v>0.23</v>
      </c>
      <c r="D89" s="86">
        <v>14000</v>
      </c>
      <c r="E89" s="86">
        <v>6</v>
      </c>
      <c r="F89" s="86">
        <v>0.13</v>
      </c>
    </row>
    <row r="90" spans="2:6" x14ac:dyDescent="0.5">
      <c r="B90" s="86">
        <v>670</v>
      </c>
      <c r="C90" s="86">
        <v>0.35</v>
      </c>
      <c r="D90" s="86">
        <v>25000</v>
      </c>
      <c r="E90" s="86">
        <v>3</v>
      </c>
      <c r="F90" s="86">
        <v>0.26</v>
      </c>
    </row>
    <row r="91" spans="2:6" x14ac:dyDescent="0.5">
      <c r="B91" s="86">
        <v>740</v>
      </c>
      <c r="C91" s="86">
        <v>0.2</v>
      </c>
      <c r="D91" s="86">
        <v>13000</v>
      </c>
      <c r="E91" s="86">
        <v>8</v>
      </c>
      <c r="F91" s="86">
        <v>0.08</v>
      </c>
    </row>
    <row r="92" spans="2:6" x14ac:dyDescent="0.5">
      <c r="B92" s="86">
        <v>610</v>
      </c>
      <c r="C92" s="86">
        <v>0.44</v>
      </c>
      <c r="D92" s="86">
        <v>33000</v>
      </c>
      <c r="E92" s="86">
        <v>2</v>
      </c>
      <c r="F92" s="86">
        <v>0.37</v>
      </c>
    </row>
    <row r="93" spans="2:6" x14ac:dyDescent="0.5">
      <c r="B93" s="86">
        <v>700</v>
      </c>
      <c r="C93" s="86">
        <v>0.28000000000000003</v>
      </c>
      <c r="D93" s="86">
        <v>18000</v>
      </c>
      <c r="E93" s="86">
        <v>5</v>
      </c>
      <c r="F93" s="86">
        <v>0.17</v>
      </c>
    </row>
    <row r="94" spans="2:6" x14ac:dyDescent="0.5">
      <c r="B94" s="86">
        <v>680</v>
      </c>
      <c r="C94" s="86">
        <v>0.33</v>
      </c>
      <c r="D94" s="86">
        <v>22000</v>
      </c>
      <c r="E94" s="86">
        <v>4</v>
      </c>
      <c r="F94" s="86">
        <v>0.23</v>
      </c>
    </row>
    <row r="95" spans="2:6" x14ac:dyDescent="0.5">
      <c r="B95" s="86">
        <v>720</v>
      </c>
      <c r="C95" s="86">
        <v>0.22</v>
      </c>
      <c r="D95" s="86">
        <v>16000</v>
      </c>
      <c r="E95" s="86">
        <v>7</v>
      </c>
      <c r="F95" s="86">
        <v>0.1</v>
      </c>
    </row>
    <row r="96" spans="2:6" x14ac:dyDescent="0.5">
      <c r="B96" s="86">
        <v>660</v>
      </c>
      <c r="C96" s="86">
        <v>0.36</v>
      </c>
      <c r="D96" s="86">
        <v>26000</v>
      </c>
      <c r="E96" s="86">
        <v>3</v>
      </c>
      <c r="F96" s="86">
        <v>0.28999999999999998</v>
      </c>
    </row>
    <row r="97" spans="2:6" x14ac:dyDescent="0.5">
      <c r="B97" s="86">
        <v>750</v>
      </c>
      <c r="C97" s="86">
        <v>0.18</v>
      </c>
      <c r="D97" s="86">
        <v>11000</v>
      </c>
      <c r="E97" s="86">
        <v>10</v>
      </c>
      <c r="F97" s="86">
        <v>0.06</v>
      </c>
    </row>
    <row r="98" spans="2:6" x14ac:dyDescent="0.5">
      <c r="B98" s="86">
        <v>630</v>
      </c>
      <c r="C98" s="86">
        <v>0.42</v>
      </c>
      <c r="D98" s="86">
        <v>31000</v>
      </c>
      <c r="E98" s="86">
        <v>1</v>
      </c>
      <c r="F98" s="86">
        <v>0.35</v>
      </c>
    </row>
    <row r="99" spans="2:6" x14ac:dyDescent="0.5">
      <c r="B99" s="86">
        <v>710</v>
      </c>
      <c r="C99" s="86">
        <v>0.27</v>
      </c>
      <c r="D99" s="86">
        <v>17000</v>
      </c>
      <c r="E99" s="86">
        <v>5</v>
      </c>
      <c r="F99" s="86">
        <v>0.15</v>
      </c>
    </row>
    <row r="100" spans="2:6" x14ac:dyDescent="0.5">
      <c r="B100" s="86">
        <v>670</v>
      </c>
      <c r="C100" s="86">
        <v>0.34</v>
      </c>
      <c r="D100" s="86">
        <v>24000</v>
      </c>
      <c r="E100" s="86">
        <v>3</v>
      </c>
      <c r="F100" s="86">
        <v>0.27</v>
      </c>
    </row>
    <row r="101" spans="2:6" x14ac:dyDescent="0.5">
      <c r="B101" s="86">
        <v>740</v>
      </c>
      <c r="C101" s="86">
        <v>0.21</v>
      </c>
      <c r="D101" s="86">
        <v>13000</v>
      </c>
      <c r="E101" s="86">
        <v>8</v>
      </c>
      <c r="F101" s="86">
        <v>0.09</v>
      </c>
    </row>
    <row r="102" spans="2:6" x14ac:dyDescent="0.5">
      <c r="B102" s="86">
        <v>620</v>
      </c>
      <c r="C102" s="86">
        <v>0.45</v>
      </c>
      <c r="D102" s="86">
        <v>35000</v>
      </c>
      <c r="E102" s="86">
        <v>2</v>
      </c>
      <c r="F102" s="86">
        <v>0.4</v>
      </c>
    </row>
  </sheetData>
  <mergeCells count="4">
    <mergeCell ref="J45:K45"/>
    <mergeCell ref="H43:S44"/>
    <mergeCell ref="H46:Q53"/>
    <mergeCell ref="A2:XFD2"/>
  </mergeCells>
  <pageMargins left="0.7" right="0.7" top="0.75" bottom="0.75" header="0.3" footer="0.3"/>
  <extLst>
    <ext xmlns:x15="http://schemas.microsoft.com/office/spreadsheetml/2010/11/main" uri="{F7C9EE02-42E1-4005-9D12-6889AFFD525C}">
      <x15:webExtensions xmlns:xm="http://schemas.microsoft.com/office/excel/2006/main">
        <x15:webExtension appRef="{6194B26B-6EEA-47AA-A7E1-BF7FDDED5D48}">
          <xm:f>'Regression Analysis '!1:1048576</xm:f>
        </x15:webExtension>
        <x15:webExtension appRef="{12425B9C-C6C4-4BD9-8D7A-B701923C30F6}">
          <xm:f>'Regression Analysis '!$F$4:$F$102</xm:f>
        </x15:webExtension>
        <x15:webExtension appRef="{044143CA-B1FB-45AE-A3D2-8FE62111CC89}">
          <xm:f>'Regression Analysis '!$B$4:$E$102</xm:f>
        </x15:webExtension>
        <x15:webExtension appRef="{076BA8F0-0693-4A4A-B6C7-43C94AD322B6}">
          <xm:f>'Regression Analysis '!$H$5:$Q$25</xm:f>
        </x15:webExtension>
      </x15:webExtens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H102"/>
  <sheetViews>
    <sheetView showGridLines="0" tabSelected="1" zoomScale="72" zoomScaleNormal="72" workbookViewId="0">
      <selection activeCell="G18" sqref="G18"/>
    </sheetView>
  </sheetViews>
  <sheetFormatPr defaultRowHeight="15" customHeight="1" x14ac:dyDescent="0.3"/>
  <cols>
    <col min="2" max="2" width="21.21875" bestFit="1" customWidth="1"/>
    <col min="3" max="3" width="25.44140625" bestFit="1" customWidth="1"/>
    <col min="4" max="4" width="22.44140625" bestFit="1" customWidth="1"/>
    <col min="5" max="5" width="29.33203125" bestFit="1" customWidth="1"/>
    <col min="6" max="6" width="28.88671875" bestFit="1" customWidth="1"/>
    <col min="8" max="8" width="56.5546875" bestFit="1" customWidth="1"/>
    <col min="9" max="9" width="13.6640625" customWidth="1"/>
    <col min="10" max="10" width="14.5546875" customWidth="1"/>
    <col min="13" max="13" width="42.44140625" bestFit="1" customWidth="1"/>
    <col min="14" max="14" width="16.77734375" bestFit="1" customWidth="1"/>
    <col min="15" max="15" width="18.44140625" bestFit="1" customWidth="1"/>
    <col min="16" max="17" width="16.77734375" bestFit="1" customWidth="1"/>
    <col min="18" max="18" width="17.109375" bestFit="1" customWidth="1"/>
    <col min="19" max="19" width="13.33203125" customWidth="1"/>
    <col min="20" max="21" width="16.77734375" bestFit="1" customWidth="1"/>
  </cols>
  <sheetData>
    <row r="1" spans="2:34" ht="15" customHeight="1" thickBot="1" x14ac:dyDescent="0.35"/>
    <row r="2" spans="2:34" ht="31.8" customHeight="1" thickBot="1" x14ac:dyDescent="0.35">
      <c r="B2" s="15" t="s">
        <v>128</v>
      </c>
      <c r="C2" s="16"/>
      <c r="D2" s="16"/>
      <c r="E2" s="16"/>
      <c r="F2" s="16"/>
      <c r="G2" s="16"/>
      <c r="H2" s="16"/>
      <c r="I2" s="16"/>
      <c r="J2" s="16"/>
      <c r="K2" s="16"/>
      <c r="L2" s="16"/>
      <c r="M2" s="16"/>
      <c r="N2" s="16"/>
      <c r="O2" s="16"/>
      <c r="P2" s="16"/>
      <c r="Q2" s="16"/>
      <c r="R2" s="16"/>
      <c r="S2" s="16"/>
      <c r="T2" s="16"/>
      <c r="U2" s="16"/>
      <c r="V2" s="17"/>
      <c r="W2" s="11"/>
      <c r="X2" s="11"/>
      <c r="Y2" s="11"/>
      <c r="Z2" s="11"/>
      <c r="AA2" s="11"/>
      <c r="AB2" s="11"/>
      <c r="AC2" s="11"/>
      <c r="AD2" s="11"/>
      <c r="AE2" s="11"/>
      <c r="AF2" s="11"/>
      <c r="AG2" s="11"/>
      <c r="AH2" s="11"/>
    </row>
    <row r="3" spans="2:34" s="14" customFormat="1" ht="12.6" customHeight="1" x14ac:dyDescent="0.3">
      <c r="B3" s="12"/>
      <c r="C3" s="12"/>
      <c r="D3" s="12"/>
      <c r="E3" s="12"/>
      <c r="F3" s="12"/>
      <c r="G3" s="12"/>
      <c r="H3" s="12"/>
      <c r="I3" s="12"/>
      <c r="J3" s="12"/>
      <c r="K3" s="12"/>
      <c r="L3" s="12"/>
      <c r="M3" s="12"/>
      <c r="N3" s="12"/>
      <c r="O3" s="12"/>
      <c r="P3" s="12"/>
      <c r="Q3" s="12"/>
      <c r="R3" s="12"/>
      <c r="S3" s="12"/>
      <c r="T3" s="12"/>
      <c r="U3" s="12"/>
      <c r="V3" s="12"/>
      <c r="W3" s="13"/>
      <c r="X3" s="13"/>
      <c r="Y3" s="13"/>
      <c r="Z3" s="13"/>
      <c r="AA3" s="13"/>
      <c r="AB3" s="13"/>
      <c r="AC3" s="13"/>
      <c r="AD3" s="13"/>
      <c r="AE3" s="13"/>
      <c r="AF3" s="13"/>
      <c r="AG3" s="13"/>
      <c r="AH3" s="13"/>
    </row>
    <row r="4" spans="2:34" ht="19.8" customHeight="1" x14ac:dyDescent="0.3">
      <c r="B4" s="24" t="s">
        <v>0</v>
      </c>
      <c r="C4" s="25" t="s">
        <v>1</v>
      </c>
      <c r="D4" s="25" t="s">
        <v>2</v>
      </c>
      <c r="E4" s="25" t="s">
        <v>3</v>
      </c>
      <c r="F4" s="26" t="s">
        <v>4</v>
      </c>
    </row>
    <row r="5" spans="2:34" ht="17.399999999999999" x14ac:dyDescent="0.3">
      <c r="B5" s="18">
        <v>720</v>
      </c>
      <c r="C5" s="19">
        <v>0.25</v>
      </c>
      <c r="D5" s="19">
        <v>15000</v>
      </c>
      <c r="E5" s="19">
        <v>5</v>
      </c>
      <c r="F5" s="20">
        <v>0.12</v>
      </c>
    </row>
    <row r="6" spans="2:34" ht="17.399999999999999" x14ac:dyDescent="0.3">
      <c r="B6" s="18">
        <v>650</v>
      </c>
      <c r="C6" s="19">
        <v>0.35</v>
      </c>
      <c r="D6" s="19">
        <v>25000</v>
      </c>
      <c r="E6" s="19">
        <v>3</v>
      </c>
      <c r="F6" s="20">
        <v>0.28000000000000003</v>
      </c>
    </row>
    <row r="7" spans="2:34" ht="18.600000000000001" thickBot="1" x14ac:dyDescent="0.4">
      <c r="B7" s="51">
        <v>780</v>
      </c>
      <c r="C7" s="19">
        <v>0.18</v>
      </c>
      <c r="D7" s="19">
        <v>10000</v>
      </c>
      <c r="E7" s="19">
        <v>8</v>
      </c>
      <c r="F7" s="20">
        <v>0.05</v>
      </c>
    </row>
    <row r="8" spans="2:34" ht="18" x14ac:dyDescent="0.35">
      <c r="B8" s="18">
        <v>620</v>
      </c>
      <c r="C8" s="19">
        <v>0.42</v>
      </c>
      <c r="D8" s="19">
        <v>30000</v>
      </c>
      <c r="E8" s="19">
        <v>2</v>
      </c>
      <c r="F8" s="20">
        <v>0.35</v>
      </c>
      <c r="H8" s="44" t="s">
        <v>121</v>
      </c>
      <c r="I8" s="27"/>
      <c r="J8" s="27"/>
      <c r="K8" s="27"/>
      <c r="L8" s="27"/>
      <c r="M8" s="45" t="s">
        <v>122</v>
      </c>
      <c r="N8" s="27"/>
      <c r="O8" s="27"/>
      <c r="P8" s="27"/>
      <c r="Q8" s="27"/>
      <c r="R8" s="27"/>
      <c r="S8" s="27"/>
      <c r="T8" s="27"/>
      <c r="U8" s="28"/>
    </row>
    <row r="9" spans="2:34" ht="18" x14ac:dyDescent="0.35">
      <c r="B9" s="18">
        <v>700</v>
      </c>
      <c r="C9" s="19">
        <v>0.3</v>
      </c>
      <c r="D9" s="19">
        <v>20000</v>
      </c>
      <c r="E9" s="19">
        <v>6</v>
      </c>
      <c r="F9" s="20">
        <v>0.15</v>
      </c>
      <c r="H9" s="29"/>
      <c r="I9" s="30"/>
      <c r="J9" s="30"/>
      <c r="K9" s="30"/>
      <c r="L9" s="30"/>
      <c r="M9" s="30"/>
      <c r="N9" s="30"/>
      <c r="O9" s="30"/>
      <c r="P9" s="30"/>
      <c r="Q9" s="30"/>
      <c r="R9" s="30"/>
      <c r="S9" s="30"/>
      <c r="T9" s="30"/>
      <c r="U9" s="31"/>
    </row>
    <row r="10" spans="2:34" ht="18" x14ac:dyDescent="0.35">
      <c r="B10" s="18">
        <v>680</v>
      </c>
      <c r="C10" s="19">
        <v>0.27</v>
      </c>
      <c r="D10" s="19">
        <v>18000</v>
      </c>
      <c r="E10" s="19">
        <v>4</v>
      </c>
      <c r="F10" s="20">
        <v>0.2</v>
      </c>
      <c r="H10" s="32"/>
      <c r="I10" s="33" t="s">
        <v>105</v>
      </c>
      <c r="J10" s="33" t="s">
        <v>106</v>
      </c>
      <c r="K10" s="30"/>
      <c r="L10" s="30"/>
      <c r="M10" s="33"/>
      <c r="N10" s="33" t="s">
        <v>105</v>
      </c>
      <c r="O10" s="33" t="s">
        <v>106</v>
      </c>
      <c r="P10" s="30"/>
      <c r="Q10" s="30"/>
      <c r="R10" s="30"/>
      <c r="S10" s="30"/>
      <c r="T10" s="30"/>
      <c r="U10" s="31"/>
    </row>
    <row r="11" spans="2:34" ht="18" x14ac:dyDescent="0.35">
      <c r="B11" s="18">
        <v>740</v>
      </c>
      <c r="C11" s="19">
        <v>0.22</v>
      </c>
      <c r="D11" s="19">
        <v>12000</v>
      </c>
      <c r="E11" s="19">
        <v>7</v>
      </c>
      <c r="F11" s="20">
        <v>0.1</v>
      </c>
      <c r="H11" s="34" t="s">
        <v>107</v>
      </c>
      <c r="I11" s="35">
        <v>687.75510204081638</v>
      </c>
      <c r="J11" s="35">
        <v>0.20979591836734693</v>
      </c>
      <c r="K11" s="30"/>
      <c r="L11" s="30"/>
      <c r="M11" s="35" t="s">
        <v>107</v>
      </c>
      <c r="N11" s="35">
        <v>687.75510204081638</v>
      </c>
      <c r="O11" s="35">
        <v>0.20783505154639176</v>
      </c>
      <c r="P11" s="30"/>
      <c r="Q11" s="30"/>
      <c r="R11" s="30"/>
      <c r="S11" s="30"/>
      <c r="T11" s="30"/>
      <c r="U11" s="31"/>
    </row>
    <row r="12" spans="2:34" ht="18" x14ac:dyDescent="0.35">
      <c r="B12" s="18">
        <v>600</v>
      </c>
      <c r="C12" s="19">
        <v>0.45</v>
      </c>
      <c r="D12" s="19">
        <v>35000</v>
      </c>
      <c r="E12" s="19">
        <v>1</v>
      </c>
      <c r="F12" s="20">
        <v>0.4</v>
      </c>
      <c r="H12" s="34" t="s">
        <v>108</v>
      </c>
      <c r="I12" s="35">
        <v>2137.1765200925747</v>
      </c>
      <c r="J12" s="35">
        <v>1.2445318746055107E-2</v>
      </c>
      <c r="K12" s="30"/>
      <c r="L12" s="30"/>
      <c r="M12" s="35" t="s">
        <v>108</v>
      </c>
      <c r="N12" s="35">
        <v>2137.1765200925747</v>
      </c>
      <c r="O12" s="35">
        <v>1.2194222508591035E-2</v>
      </c>
      <c r="P12" s="30"/>
      <c r="Q12" s="30"/>
      <c r="R12" s="30"/>
      <c r="S12" s="30"/>
      <c r="T12" s="30"/>
      <c r="U12" s="31"/>
    </row>
    <row r="13" spans="2:34" ht="18" x14ac:dyDescent="0.35">
      <c r="B13" s="18">
        <v>710</v>
      </c>
      <c r="C13" s="19">
        <v>0.28000000000000003</v>
      </c>
      <c r="D13" s="19">
        <v>17000</v>
      </c>
      <c r="E13" s="19">
        <v>5</v>
      </c>
      <c r="F13" s="20">
        <v>0.18</v>
      </c>
      <c r="H13" s="34" t="s">
        <v>63</v>
      </c>
      <c r="I13" s="35">
        <v>98</v>
      </c>
      <c r="J13" s="35">
        <v>98</v>
      </c>
      <c r="K13" s="30"/>
      <c r="L13" s="30"/>
      <c r="M13" s="35" t="s">
        <v>63</v>
      </c>
      <c r="N13" s="35">
        <v>98</v>
      </c>
      <c r="O13" s="35">
        <v>97</v>
      </c>
      <c r="P13" s="30"/>
      <c r="Q13" s="30"/>
      <c r="R13" s="30"/>
      <c r="S13" s="30"/>
      <c r="T13" s="30"/>
      <c r="U13" s="31"/>
    </row>
    <row r="14" spans="2:34" ht="18" x14ac:dyDescent="0.35">
      <c r="B14" s="18">
        <v>660</v>
      </c>
      <c r="C14" s="19">
        <v>0.33</v>
      </c>
      <c r="D14" s="19">
        <v>22000</v>
      </c>
      <c r="E14" s="19">
        <v>3</v>
      </c>
      <c r="F14" s="20">
        <v>0.25</v>
      </c>
      <c r="H14" s="34" t="s">
        <v>109</v>
      </c>
      <c r="I14" s="35">
        <v>-0.98258074486365743</v>
      </c>
      <c r="J14" s="35"/>
      <c r="K14" s="30"/>
      <c r="L14" s="30"/>
      <c r="M14" s="35" t="s">
        <v>65</v>
      </c>
      <c r="N14" s="35">
        <v>97</v>
      </c>
      <c r="O14" s="35">
        <v>96</v>
      </c>
      <c r="P14" s="30"/>
      <c r="Q14" s="30"/>
      <c r="R14" s="30"/>
      <c r="S14" s="30"/>
      <c r="T14" s="30"/>
      <c r="U14" s="31"/>
    </row>
    <row r="15" spans="2:34" ht="18" x14ac:dyDescent="0.35">
      <c r="B15" s="18">
        <v>730</v>
      </c>
      <c r="C15" s="19">
        <v>0.2</v>
      </c>
      <c r="D15" s="19">
        <v>14000</v>
      </c>
      <c r="E15" s="19">
        <v>9</v>
      </c>
      <c r="F15" s="20">
        <v>0.08</v>
      </c>
      <c r="H15" s="34" t="s">
        <v>110</v>
      </c>
      <c r="I15" s="35">
        <v>0</v>
      </c>
      <c r="J15" s="35"/>
      <c r="K15" s="30"/>
      <c r="L15" s="30"/>
      <c r="M15" s="35" t="s">
        <v>68</v>
      </c>
      <c r="N15" s="35">
        <v>175261.40092875113</v>
      </c>
      <c r="O15" s="35"/>
      <c r="P15" s="30"/>
      <c r="Q15" s="30"/>
      <c r="R15" s="30"/>
      <c r="S15" s="30"/>
      <c r="T15" s="30"/>
      <c r="U15" s="31"/>
    </row>
    <row r="16" spans="2:34" ht="18" x14ac:dyDescent="0.35">
      <c r="B16" s="18">
        <v>690</v>
      </c>
      <c r="C16" s="19">
        <v>0.31</v>
      </c>
      <c r="D16" s="19">
        <v>26000</v>
      </c>
      <c r="E16" s="19">
        <v>4</v>
      </c>
      <c r="F16" s="20">
        <v>0.22</v>
      </c>
      <c r="H16" s="34" t="s">
        <v>65</v>
      </c>
      <c r="I16" s="35">
        <v>97</v>
      </c>
      <c r="J16" s="35"/>
      <c r="K16" s="30"/>
      <c r="L16" s="30"/>
      <c r="M16" s="35" t="s">
        <v>116</v>
      </c>
      <c r="N16" s="35">
        <v>5.5642453660676233E-225</v>
      </c>
      <c r="O16" s="35"/>
      <c r="P16" s="30"/>
      <c r="Q16" s="30"/>
      <c r="R16" s="30"/>
      <c r="S16" s="30"/>
      <c r="T16" s="30"/>
      <c r="U16" s="31"/>
    </row>
    <row r="17" spans="2:21" ht="18" x14ac:dyDescent="0.35">
      <c r="B17" s="18">
        <v>750</v>
      </c>
      <c r="C17" s="19">
        <v>0.17</v>
      </c>
      <c r="D17" s="19">
        <v>11000</v>
      </c>
      <c r="E17" s="19">
        <v>10</v>
      </c>
      <c r="F17" s="20">
        <v>0.06</v>
      </c>
      <c r="H17" s="34" t="s">
        <v>74</v>
      </c>
      <c r="I17" s="35">
        <v>146.88098598298373</v>
      </c>
      <c r="J17" s="35"/>
      <c r="K17" s="30"/>
      <c r="L17" s="30"/>
      <c r="M17" s="35" t="s">
        <v>117</v>
      </c>
      <c r="N17" s="35">
        <v>1.400337927244953</v>
      </c>
      <c r="O17" s="35"/>
      <c r="P17" s="30"/>
      <c r="Q17" s="30"/>
      <c r="R17" s="30"/>
      <c r="S17" s="30"/>
      <c r="T17" s="30"/>
      <c r="U17" s="31"/>
    </row>
    <row r="18" spans="2:21" ht="18" x14ac:dyDescent="0.35">
      <c r="B18" s="18">
        <v>610</v>
      </c>
      <c r="C18" s="19">
        <v>0.4</v>
      </c>
      <c r="D18" s="19">
        <v>32000</v>
      </c>
      <c r="E18" s="19">
        <v>2</v>
      </c>
      <c r="F18" s="20">
        <v>0.38</v>
      </c>
      <c r="H18" s="34" t="s">
        <v>111</v>
      </c>
      <c r="I18" s="35">
        <v>4.7384454287086438E-116</v>
      </c>
      <c r="J18" s="35"/>
      <c r="K18" s="30"/>
      <c r="L18" s="30"/>
      <c r="M18" s="30"/>
      <c r="N18" s="30"/>
      <c r="O18" s="30"/>
      <c r="P18" s="30"/>
      <c r="Q18" s="30"/>
      <c r="R18" s="30"/>
      <c r="S18" s="30"/>
      <c r="T18" s="30"/>
      <c r="U18" s="31"/>
    </row>
    <row r="19" spans="2:21" ht="18" x14ac:dyDescent="0.35">
      <c r="B19" s="18">
        <v>720</v>
      </c>
      <c r="C19" s="19">
        <v>0.26</v>
      </c>
      <c r="D19" s="19">
        <v>16000</v>
      </c>
      <c r="E19" s="19">
        <v>6</v>
      </c>
      <c r="F19" s="20">
        <v>0.14000000000000001</v>
      </c>
      <c r="H19" s="34" t="s">
        <v>112</v>
      </c>
      <c r="I19" s="35">
        <v>1.6607146101230255</v>
      </c>
      <c r="J19" s="35"/>
      <c r="K19" s="30"/>
      <c r="L19" s="30"/>
      <c r="M19" s="30"/>
      <c r="N19" s="30"/>
      <c r="O19" s="30"/>
      <c r="P19" s="30"/>
      <c r="Q19" s="30"/>
      <c r="R19" s="30"/>
      <c r="S19" s="30"/>
      <c r="T19" s="30"/>
      <c r="U19" s="31"/>
    </row>
    <row r="20" spans="2:21" ht="18" x14ac:dyDescent="0.35">
      <c r="B20" s="18">
        <v>670</v>
      </c>
      <c r="C20" s="19">
        <v>0.34</v>
      </c>
      <c r="D20" s="19">
        <v>24000</v>
      </c>
      <c r="E20" s="19">
        <v>3</v>
      </c>
      <c r="F20" s="20">
        <v>0.27</v>
      </c>
      <c r="H20" s="34" t="s">
        <v>113</v>
      </c>
      <c r="I20" s="35">
        <v>9.4768908574172875E-116</v>
      </c>
      <c r="J20" s="35"/>
      <c r="K20" s="30"/>
      <c r="L20" s="30"/>
      <c r="M20" s="47" t="s">
        <v>123</v>
      </c>
      <c r="N20" s="30"/>
      <c r="O20" s="30"/>
      <c r="P20" s="30"/>
      <c r="Q20" s="30"/>
      <c r="R20" s="30"/>
      <c r="S20" s="30"/>
      <c r="T20" s="30"/>
      <c r="U20" s="31"/>
    </row>
    <row r="21" spans="2:21" ht="18" x14ac:dyDescent="0.35">
      <c r="B21" s="18">
        <v>740</v>
      </c>
      <c r="C21" s="19">
        <v>0.21</v>
      </c>
      <c r="D21" s="19">
        <v>13000</v>
      </c>
      <c r="E21" s="19">
        <v>8</v>
      </c>
      <c r="F21" s="20">
        <v>0.09</v>
      </c>
      <c r="H21" s="34" t="s">
        <v>114</v>
      </c>
      <c r="I21" s="35">
        <v>1.9847231860139838</v>
      </c>
      <c r="J21" s="35"/>
      <c r="K21" s="30"/>
      <c r="L21" s="30"/>
      <c r="M21" s="30"/>
      <c r="N21" s="30"/>
      <c r="O21" s="30"/>
      <c r="P21" s="30"/>
      <c r="Q21" s="30"/>
      <c r="R21" s="30"/>
      <c r="S21" s="30"/>
      <c r="T21" s="30"/>
      <c r="U21" s="31"/>
    </row>
    <row r="22" spans="2:21" ht="18" x14ac:dyDescent="0.35">
      <c r="B22" s="18">
        <v>630</v>
      </c>
      <c r="C22" s="19">
        <v>0.43</v>
      </c>
      <c r="D22" s="19">
        <v>31000</v>
      </c>
      <c r="E22" s="19">
        <v>1</v>
      </c>
      <c r="F22" s="20">
        <v>0.36</v>
      </c>
      <c r="H22" s="29"/>
      <c r="I22" s="30"/>
      <c r="J22" s="30"/>
      <c r="K22" s="30"/>
      <c r="L22" s="30"/>
      <c r="M22" s="37" t="s">
        <v>52</v>
      </c>
      <c r="N22" s="37"/>
      <c r="O22" s="30"/>
      <c r="P22" s="30"/>
      <c r="Q22" s="30"/>
      <c r="R22" s="30"/>
      <c r="S22" s="30"/>
      <c r="T22" s="30"/>
      <c r="U22" s="31"/>
    </row>
    <row r="23" spans="2:21" ht="18" x14ac:dyDescent="0.35">
      <c r="B23" s="18">
        <v>700</v>
      </c>
      <c r="C23" s="19">
        <v>0.28999999999999998</v>
      </c>
      <c r="D23" s="19">
        <v>19000</v>
      </c>
      <c r="E23" s="19">
        <v>5</v>
      </c>
      <c r="F23" s="20">
        <v>0.16</v>
      </c>
      <c r="H23" s="29"/>
      <c r="I23" s="30"/>
      <c r="J23" s="30"/>
      <c r="K23" s="30"/>
      <c r="L23" s="30"/>
      <c r="M23" s="35" t="s">
        <v>55</v>
      </c>
      <c r="N23" s="35">
        <v>0.85129941359220784</v>
      </c>
      <c r="O23" s="30"/>
      <c r="P23" s="30"/>
      <c r="Q23" s="30"/>
      <c r="R23" s="30"/>
      <c r="S23" s="30"/>
      <c r="T23" s="30"/>
      <c r="U23" s="31"/>
    </row>
    <row r="24" spans="2:21" ht="18" x14ac:dyDescent="0.35">
      <c r="B24" s="18">
        <v>680</v>
      </c>
      <c r="C24" s="19">
        <v>0.32</v>
      </c>
      <c r="D24" s="19">
        <v>23000</v>
      </c>
      <c r="E24" s="19">
        <v>4</v>
      </c>
      <c r="F24" s="20">
        <v>0.24</v>
      </c>
      <c r="H24" s="46" t="s">
        <v>125</v>
      </c>
      <c r="I24" s="30"/>
      <c r="J24" s="30"/>
      <c r="K24" s="30"/>
      <c r="L24" s="30"/>
      <c r="M24" s="35" t="s">
        <v>57</v>
      </c>
      <c r="N24" s="35">
        <v>0.72471069158243695</v>
      </c>
      <c r="O24" s="30"/>
      <c r="P24" s="30"/>
      <c r="Q24" s="30"/>
      <c r="R24" s="30"/>
      <c r="S24" s="30"/>
      <c r="T24" s="30"/>
      <c r="U24" s="31"/>
    </row>
    <row r="25" spans="2:21" ht="18" x14ac:dyDescent="0.35">
      <c r="B25" s="18">
        <v>710</v>
      </c>
      <c r="C25" s="19">
        <v>0.24</v>
      </c>
      <c r="D25" s="19">
        <v>15000</v>
      </c>
      <c r="E25" s="19">
        <v>7</v>
      </c>
      <c r="F25" s="20">
        <v>0.11</v>
      </c>
      <c r="H25" s="29"/>
      <c r="I25" s="30"/>
      <c r="J25" s="30"/>
      <c r="K25" s="30"/>
      <c r="L25" s="30"/>
      <c r="M25" s="35" t="s">
        <v>59</v>
      </c>
      <c r="N25" s="35">
        <v>0.71440141323192152</v>
      </c>
      <c r="O25" s="30"/>
      <c r="P25" s="30"/>
      <c r="Q25" s="30"/>
      <c r="R25" s="30"/>
      <c r="S25" s="30"/>
      <c r="T25" s="30"/>
      <c r="U25" s="31"/>
    </row>
    <row r="26" spans="2:21" ht="18" x14ac:dyDescent="0.35">
      <c r="B26" s="18">
        <v>650</v>
      </c>
      <c r="C26" s="19">
        <v>0.37</v>
      </c>
      <c r="D26" s="19">
        <v>27000</v>
      </c>
      <c r="E26" s="19">
        <v>2</v>
      </c>
      <c r="F26" s="20">
        <v>0.3</v>
      </c>
      <c r="H26" s="32"/>
      <c r="I26" s="33" t="s">
        <v>105</v>
      </c>
      <c r="J26" s="33" t="s">
        <v>106</v>
      </c>
      <c r="K26" s="30"/>
      <c r="L26" s="30"/>
      <c r="M26" s="35" t="s">
        <v>61</v>
      </c>
      <c r="N26" s="35">
        <v>0.12517048810841533</v>
      </c>
      <c r="O26" s="30"/>
      <c r="P26" s="30"/>
      <c r="Q26" s="30"/>
      <c r="R26" s="30"/>
      <c r="S26" s="30"/>
      <c r="T26" s="30"/>
      <c r="U26" s="31"/>
    </row>
    <row r="27" spans="2:21" ht="18" x14ac:dyDescent="0.35">
      <c r="B27" s="18">
        <v>760</v>
      </c>
      <c r="C27" s="19">
        <v>0.19</v>
      </c>
      <c r="D27" s="19">
        <v>12000</v>
      </c>
      <c r="E27" s="19">
        <v>9</v>
      </c>
      <c r="F27" s="20">
        <v>7.0000000000000007E-2</v>
      </c>
      <c r="H27" s="34" t="s">
        <v>107</v>
      </c>
      <c r="I27" s="35">
        <v>687.75510204081638</v>
      </c>
      <c r="J27" s="35">
        <v>0.20979591836734693</v>
      </c>
      <c r="K27" s="30"/>
      <c r="L27" s="30"/>
      <c r="M27" s="35" t="s">
        <v>63</v>
      </c>
      <c r="N27" s="35">
        <v>98</v>
      </c>
      <c r="O27" s="30"/>
      <c r="P27" s="30"/>
      <c r="Q27" s="30"/>
      <c r="R27" s="30"/>
      <c r="S27" s="30"/>
      <c r="T27" s="30"/>
      <c r="U27" s="31"/>
    </row>
    <row r="28" spans="2:21" ht="18" x14ac:dyDescent="0.35">
      <c r="B28" s="18">
        <v>620</v>
      </c>
      <c r="C28" s="19">
        <v>0.41</v>
      </c>
      <c r="D28" s="19">
        <v>34000</v>
      </c>
      <c r="E28" s="19">
        <v>1</v>
      </c>
      <c r="F28" s="20">
        <v>0.39</v>
      </c>
      <c r="H28" s="34" t="s">
        <v>108</v>
      </c>
      <c r="I28" s="35">
        <v>2137.1765200925747</v>
      </c>
      <c r="J28" s="35">
        <v>1.2445318746055107E-2</v>
      </c>
      <c r="K28" s="30"/>
      <c r="L28" s="30"/>
      <c r="M28" s="30"/>
      <c r="N28" s="30"/>
      <c r="O28" s="30"/>
      <c r="P28" s="30"/>
      <c r="Q28" s="30"/>
      <c r="R28" s="30"/>
      <c r="S28" s="30"/>
      <c r="T28" s="30"/>
      <c r="U28" s="31"/>
    </row>
    <row r="29" spans="2:21" ht="18" x14ac:dyDescent="0.35">
      <c r="B29" s="18">
        <v>730</v>
      </c>
      <c r="C29" s="19">
        <v>0.23</v>
      </c>
      <c r="D29" s="19">
        <v>14000</v>
      </c>
      <c r="E29" s="19">
        <v>6</v>
      </c>
      <c r="F29" s="20">
        <v>0.13</v>
      </c>
      <c r="H29" s="34" t="s">
        <v>63</v>
      </c>
      <c r="I29" s="35">
        <v>98</v>
      </c>
      <c r="J29" s="35">
        <v>98</v>
      </c>
      <c r="K29" s="30"/>
      <c r="L29" s="30"/>
      <c r="M29" s="48" t="s">
        <v>124</v>
      </c>
      <c r="N29" s="30"/>
      <c r="O29" s="30"/>
      <c r="P29" s="30"/>
      <c r="Q29" s="30"/>
      <c r="R29" s="30"/>
      <c r="S29" s="30"/>
      <c r="T29" s="30"/>
      <c r="U29" s="31"/>
    </row>
    <row r="30" spans="2:21" ht="18" x14ac:dyDescent="0.35">
      <c r="B30" s="18">
        <v>670</v>
      </c>
      <c r="C30" s="19">
        <v>0.35</v>
      </c>
      <c r="D30" s="19">
        <v>25000</v>
      </c>
      <c r="E30" s="19">
        <v>3</v>
      </c>
      <c r="F30" s="20">
        <v>0.26</v>
      </c>
      <c r="H30" s="34" t="s">
        <v>115</v>
      </c>
      <c r="I30" s="35">
        <v>1068.5944827056605</v>
      </c>
      <c r="J30" s="35"/>
      <c r="K30" s="30"/>
      <c r="L30" s="30"/>
      <c r="M30" s="33"/>
      <c r="N30" s="33" t="s">
        <v>65</v>
      </c>
      <c r="O30" s="33" t="s">
        <v>66</v>
      </c>
      <c r="P30" s="33" t="s">
        <v>67</v>
      </c>
      <c r="Q30" s="33" t="s">
        <v>68</v>
      </c>
      <c r="R30" s="33" t="s">
        <v>69</v>
      </c>
      <c r="S30" s="30"/>
      <c r="T30" s="30"/>
      <c r="U30" s="31"/>
    </row>
    <row r="31" spans="2:21" ht="18" x14ac:dyDescent="0.35">
      <c r="B31" s="18">
        <v>740</v>
      </c>
      <c r="C31" s="19">
        <v>0.2</v>
      </c>
      <c r="D31" s="19">
        <v>13000</v>
      </c>
      <c r="E31" s="19">
        <v>8</v>
      </c>
      <c r="F31" s="20">
        <v>0.08</v>
      </c>
      <c r="H31" s="34" t="s">
        <v>110</v>
      </c>
      <c r="I31" s="35">
        <v>0</v>
      </c>
      <c r="J31" s="35"/>
      <c r="K31" s="30"/>
      <c r="L31" s="30"/>
      <c r="M31" s="35" t="s">
        <v>70</v>
      </c>
      <c r="N31" s="35">
        <v>1</v>
      </c>
      <c r="O31" s="35">
        <v>4.0008378439499994</v>
      </c>
      <c r="P31" s="35">
        <v>4.0008378439499994</v>
      </c>
      <c r="Q31" s="35">
        <v>255.35658281675404</v>
      </c>
      <c r="R31" s="35">
        <v>8.5198891095859367E-29</v>
      </c>
      <c r="S31" s="30"/>
      <c r="T31" s="30"/>
      <c r="U31" s="31"/>
    </row>
    <row r="32" spans="2:21" ht="18" x14ac:dyDescent="0.35">
      <c r="B32" s="18">
        <v>610</v>
      </c>
      <c r="C32" s="19">
        <v>0.44</v>
      </c>
      <c r="D32" s="19">
        <v>33000</v>
      </c>
      <c r="E32" s="19">
        <v>2</v>
      </c>
      <c r="F32" s="20">
        <v>0.37</v>
      </c>
      <c r="H32" s="34" t="s">
        <v>65</v>
      </c>
      <c r="I32" s="35">
        <v>194</v>
      </c>
      <c r="J32" s="35"/>
      <c r="K32" s="30"/>
      <c r="L32" s="30"/>
      <c r="M32" s="35" t="s">
        <v>71</v>
      </c>
      <c r="N32" s="35">
        <v>97</v>
      </c>
      <c r="O32" s="35">
        <v>1.5197621560499976</v>
      </c>
      <c r="P32" s="35">
        <v>1.5667651093298946E-2</v>
      </c>
      <c r="Q32" s="35"/>
      <c r="R32" s="35"/>
      <c r="S32" s="30"/>
      <c r="T32" s="30"/>
      <c r="U32" s="31"/>
    </row>
    <row r="33" spans="2:21" ht="18" x14ac:dyDescent="0.35">
      <c r="B33" s="18">
        <v>700</v>
      </c>
      <c r="C33" s="19">
        <v>0.28000000000000003</v>
      </c>
      <c r="D33" s="19">
        <v>18000</v>
      </c>
      <c r="E33" s="19">
        <v>5</v>
      </c>
      <c r="F33" s="20">
        <v>0.17</v>
      </c>
      <c r="H33" s="34" t="s">
        <v>74</v>
      </c>
      <c r="I33" s="35">
        <v>147.22884250575598</v>
      </c>
      <c r="J33" s="35"/>
      <c r="K33" s="30"/>
      <c r="L33" s="30"/>
      <c r="M33" s="35" t="s">
        <v>72</v>
      </c>
      <c r="N33" s="35">
        <v>98</v>
      </c>
      <c r="O33" s="35">
        <v>5.5205999999999973</v>
      </c>
      <c r="P33" s="35"/>
      <c r="Q33" s="35"/>
      <c r="R33" s="35"/>
      <c r="S33" s="30"/>
      <c r="T33" s="30"/>
      <c r="U33" s="31"/>
    </row>
    <row r="34" spans="2:21" ht="18" x14ac:dyDescent="0.35">
      <c r="B34" s="18">
        <v>680</v>
      </c>
      <c r="C34" s="19">
        <v>0.33</v>
      </c>
      <c r="D34" s="19">
        <v>22000</v>
      </c>
      <c r="E34" s="19">
        <v>4</v>
      </c>
      <c r="F34" s="20">
        <v>0.23</v>
      </c>
      <c r="H34" s="34" t="s">
        <v>111</v>
      </c>
      <c r="I34" s="35">
        <v>2.5654332996383914E-201</v>
      </c>
      <c r="J34" s="35"/>
      <c r="K34" s="30"/>
      <c r="L34" s="30"/>
      <c r="M34" s="35"/>
      <c r="N34" s="35"/>
      <c r="O34" s="35"/>
      <c r="P34" s="35"/>
      <c r="Q34" s="35"/>
      <c r="R34" s="35"/>
      <c r="S34" s="30"/>
      <c r="T34" s="30"/>
      <c r="U34" s="31"/>
    </row>
    <row r="35" spans="2:21" ht="18" x14ac:dyDescent="0.35">
      <c r="B35" s="18">
        <v>720</v>
      </c>
      <c r="C35" s="19">
        <v>0.22</v>
      </c>
      <c r="D35" s="19">
        <v>16000</v>
      </c>
      <c r="E35" s="19">
        <v>7</v>
      </c>
      <c r="F35" s="20">
        <v>0.1</v>
      </c>
      <c r="H35" s="34" t="s">
        <v>112</v>
      </c>
      <c r="I35" s="35">
        <v>1.6527459772592878</v>
      </c>
      <c r="J35" s="35"/>
      <c r="K35" s="30"/>
      <c r="L35" s="30"/>
      <c r="M35" s="47" t="s">
        <v>127</v>
      </c>
      <c r="N35" s="30"/>
      <c r="O35" s="30"/>
      <c r="P35" s="30"/>
      <c r="Q35" s="30"/>
      <c r="R35" s="30"/>
      <c r="S35" s="30"/>
      <c r="T35" s="30"/>
      <c r="U35" s="31"/>
    </row>
    <row r="36" spans="2:21" ht="18" x14ac:dyDescent="0.35">
      <c r="B36" s="18">
        <v>660</v>
      </c>
      <c r="C36" s="19">
        <v>0.36</v>
      </c>
      <c r="D36" s="19">
        <v>26000</v>
      </c>
      <c r="E36" s="19">
        <v>3</v>
      </c>
      <c r="F36" s="20">
        <v>0.28999999999999998</v>
      </c>
      <c r="H36" s="34" t="s">
        <v>113</v>
      </c>
      <c r="I36" s="35">
        <v>5.1308665992767827E-201</v>
      </c>
      <c r="J36" s="35"/>
      <c r="K36" s="30"/>
      <c r="L36" s="30"/>
      <c r="M36" s="36"/>
      <c r="N36" s="30"/>
      <c r="O36" s="30"/>
      <c r="P36" s="30"/>
      <c r="Q36" s="30"/>
      <c r="R36" s="30"/>
      <c r="S36" s="30"/>
      <c r="T36" s="30"/>
      <c r="U36" s="31"/>
    </row>
    <row r="37" spans="2:21" ht="18" x14ac:dyDescent="0.35">
      <c r="B37" s="18">
        <v>750</v>
      </c>
      <c r="C37" s="19">
        <v>0.18</v>
      </c>
      <c r="D37" s="19">
        <v>11000</v>
      </c>
      <c r="E37" s="19">
        <v>10</v>
      </c>
      <c r="F37" s="20">
        <v>0.06</v>
      </c>
      <c r="H37" s="34" t="s">
        <v>114</v>
      </c>
      <c r="I37" s="35">
        <v>1.9722675325821368</v>
      </c>
      <c r="J37" s="35"/>
      <c r="K37" s="30"/>
      <c r="L37" s="30"/>
      <c r="M37" s="33"/>
      <c r="N37" s="33" t="s">
        <v>73</v>
      </c>
      <c r="O37" s="33" t="s">
        <v>61</v>
      </c>
      <c r="P37" s="33" t="s">
        <v>74</v>
      </c>
      <c r="Q37" s="33" t="s">
        <v>75</v>
      </c>
      <c r="R37" s="33" t="s">
        <v>76</v>
      </c>
      <c r="S37" s="33" t="s">
        <v>77</v>
      </c>
      <c r="T37" s="33" t="s">
        <v>118</v>
      </c>
      <c r="U37" s="39" t="s">
        <v>119</v>
      </c>
    </row>
    <row r="38" spans="2:21" ht="18" x14ac:dyDescent="0.35">
      <c r="B38" s="18">
        <v>630</v>
      </c>
      <c r="C38" s="19">
        <v>0.42</v>
      </c>
      <c r="D38" s="19">
        <v>31000</v>
      </c>
      <c r="E38" s="19">
        <v>1</v>
      </c>
      <c r="F38" s="20">
        <v>0.35</v>
      </c>
      <c r="H38" s="29"/>
      <c r="I38" s="30"/>
      <c r="J38" s="30"/>
      <c r="K38" s="30"/>
      <c r="L38" s="30"/>
      <c r="M38" s="35" t="s">
        <v>78</v>
      </c>
      <c r="N38" s="35">
        <v>0</v>
      </c>
      <c r="O38" s="35" t="e">
        <v>#N/A</v>
      </c>
      <c r="P38" s="35" t="e">
        <v>#N/A</v>
      </c>
      <c r="Q38" s="35" t="e">
        <v>#N/A</v>
      </c>
      <c r="R38" s="35" t="e">
        <v>#N/A</v>
      </c>
      <c r="S38" s="35" t="e">
        <v>#N/A</v>
      </c>
      <c r="T38" s="35" t="e">
        <v>#N/A</v>
      </c>
      <c r="U38" s="40" t="e">
        <v>#N/A</v>
      </c>
    </row>
    <row r="39" spans="2:21" ht="18" x14ac:dyDescent="0.35">
      <c r="B39" s="18">
        <v>710</v>
      </c>
      <c r="C39" s="19">
        <v>0.27</v>
      </c>
      <c r="D39" s="19">
        <v>17000</v>
      </c>
      <c r="E39" s="19">
        <v>5</v>
      </c>
      <c r="F39" s="20">
        <v>0.15</v>
      </c>
      <c r="H39" s="38"/>
      <c r="I39" s="30"/>
      <c r="J39" s="30"/>
      <c r="K39" s="30"/>
      <c r="L39" s="30"/>
      <c r="M39" s="35" t="s">
        <v>120</v>
      </c>
      <c r="N39" s="35">
        <v>2.9312959065332247E-4</v>
      </c>
      <c r="O39" s="35">
        <v>1.8343665929948643E-5</v>
      </c>
      <c r="P39" s="35">
        <v>15.979880563281887</v>
      </c>
      <c r="Q39" s="35">
        <v>6.3897627763115488E-29</v>
      </c>
      <c r="R39" s="35">
        <v>2.5672249156565865E-4</v>
      </c>
      <c r="S39" s="35">
        <v>3.2953668974098629E-4</v>
      </c>
      <c r="T39" s="35">
        <v>2.5672249156565865E-4</v>
      </c>
      <c r="U39" s="40">
        <v>3.2953668974098629E-4</v>
      </c>
    </row>
    <row r="40" spans="2:21" ht="18" x14ac:dyDescent="0.35">
      <c r="B40" s="18">
        <v>670</v>
      </c>
      <c r="C40" s="19">
        <v>0.34</v>
      </c>
      <c r="D40" s="19">
        <v>24000</v>
      </c>
      <c r="E40" s="19">
        <v>3</v>
      </c>
      <c r="F40" s="20">
        <v>0.27</v>
      </c>
      <c r="H40" s="46" t="s">
        <v>126</v>
      </c>
      <c r="I40" s="30"/>
      <c r="J40" s="30"/>
      <c r="K40" s="30"/>
      <c r="L40" s="30"/>
      <c r="M40" s="30"/>
      <c r="N40" s="30"/>
      <c r="O40" s="30"/>
      <c r="P40" s="30"/>
      <c r="Q40" s="30"/>
      <c r="R40" s="30"/>
      <c r="S40" s="30"/>
      <c r="T40" s="30"/>
      <c r="U40" s="31"/>
    </row>
    <row r="41" spans="2:21" ht="18" x14ac:dyDescent="0.35">
      <c r="B41" s="18">
        <v>740</v>
      </c>
      <c r="C41" s="19">
        <v>0.21</v>
      </c>
      <c r="D41" s="19">
        <v>13000</v>
      </c>
      <c r="E41" s="19">
        <v>8</v>
      </c>
      <c r="F41" s="20">
        <v>0.09</v>
      </c>
      <c r="H41" s="29"/>
      <c r="I41" s="30"/>
      <c r="J41" s="30"/>
      <c r="K41" s="30"/>
      <c r="L41" s="30"/>
      <c r="M41" s="30"/>
      <c r="N41" s="30"/>
      <c r="O41" s="30"/>
      <c r="P41" s="30"/>
      <c r="Q41" s="30"/>
      <c r="R41" s="30"/>
      <c r="S41" s="30"/>
      <c r="T41" s="30"/>
      <c r="U41" s="31"/>
    </row>
    <row r="42" spans="2:21" ht="18" x14ac:dyDescent="0.35">
      <c r="B42" s="18">
        <v>620</v>
      </c>
      <c r="C42" s="19">
        <v>0.45</v>
      </c>
      <c r="D42" s="19">
        <v>35000</v>
      </c>
      <c r="E42" s="19">
        <v>2</v>
      </c>
      <c r="F42" s="20">
        <v>0.4</v>
      </c>
      <c r="H42" s="32"/>
      <c r="I42" s="33" t="s">
        <v>105</v>
      </c>
      <c r="J42" s="33" t="s">
        <v>106</v>
      </c>
      <c r="K42" s="30"/>
      <c r="L42" s="30"/>
      <c r="M42" s="30"/>
      <c r="N42" s="30"/>
      <c r="O42" s="30"/>
      <c r="P42" s="30"/>
      <c r="Q42" s="30"/>
      <c r="R42" s="30"/>
      <c r="S42" s="30"/>
      <c r="T42" s="30"/>
      <c r="U42" s="31"/>
    </row>
    <row r="43" spans="2:21" ht="18" x14ac:dyDescent="0.35">
      <c r="B43" s="18">
        <v>700</v>
      </c>
      <c r="C43" s="19">
        <v>0.28999999999999998</v>
      </c>
      <c r="D43" s="19">
        <v>19000</v>
      </c>
      <c r="E43" s="19">
        <v>5</v>
      </c>
      <c r="F43" s="20">
        <v>0.16</v>
      </c>
      <c r="H43" s="34" t="s">
        <v>107</v>
      </c>
      <c r="I43" s="35">
        <v>687.75510204081638</v>
      </c>
      <c r="J43" s="35">
        <v>0.20979591836734693</v>
      </c>
      <c r="K43" s="30"/>
      <c r="L43" s="30"/>
      <c r="M43" s="30"/>
      <c r="N43" s="30"/>
      <c r="O43" s="30"/>
      <c r="P43" s="30"/>
      <c r="Q43" s="30"/>
      <c r="R43" s="30"/>
      <c r="S43" s="30"/>
      <c r="T43" s="30"/>
      <c r="U43" s="31"/>
    </row>
    <row r="44" spans="2:21" ht="18" x14ac:dyDescent="0.35">
      <c r="B44" s="18">
        <v>680</v>
      </c>
      <c r="C44" s="19">
        <v>0.32</v>
      </c>
      <c r="D44" s="19">
        <v>23000</v>
      </c>
      <c r="E44" s="19">
        <v>4</v>
      </c>
      <c r="F44" s="20">
        <v>0.24</v>
      </c>
      <c r="H44" s="34" t="s">
        <v>108</v>
      </c>
      <c r="I44" s="35">
        <v>2137.1765200925747</v>
      </c>
      <c r="J44" s="35">
        <v>1.2445318746055107E-2</v>
      </c>
      <c r="K44" s="30"/>
      <c r="L44" s="30"/>
      <c r="M44" s="30"/>
      <c r="N44" s="30"/>
      <c r="O44" s="30"/>
      <c r="P44" s="30"/>
      <c r="Q44" s="30"/>
      <c r="R44" s="30"/>
      <c r="S44" s="30"/>
      <c r="T44" s="30"/>
      <c r="U44" s="31"/>
    </row>
    <row r="45" spans="2:21" ht="18" x14ac:dyDescent="0.35">
      <c r="B45" s="18">
        <v>710</v>
      </c>
      <c r="C45" s="19">
        <v>0.24</v>
      </c>
      <c r="D45" s="19">
        <v>15000</v>
      </c>
      <c r="E45" s="19">
        <v>7</v>
      </c>
      <c r="F45" s="20">
        <v>0.11</v>
      </c>
      <c r="H45" s="34" t="s">
        <v>63</v>
      </c>
      <c r="I45" s="35">
        <v>98</v>
      </c>
      <c r="J45" s="35">
        <v>98</v>
      </c>
      <c r="K45" s="30"/>
      <c r="L45" s="30"/>
      <c r="M45" s="30"/>
      <c r="N45" s="30"/>
      <c r="O45" s="30"/>
      <c r="P45" s="30"/>
      <c r="Q45" s="30"/>
      <c r="R45" s="30"/>
      <c r="S45" s="30"/>
      <c r="T45" s="30"/>
      <c r="U45" s="31"/>
    </row>
    <row r="46" spans="2:21" ht="18" x14ac:dyDescent="0.35">
      <c r="B46" s="18">
        <v>650</v>
      </c>
      <c r="C46" s="19">
        <v>0.37</v>
      </c>
      <c r="D46" s="19">
        <v>27000</v>
      </c>
      <c r="E46" s="19">
        <v>2</v>
      </c>
      <c r="F46" s="20">
        <v>0.3</v>
      </c>
      <c r="H46" s="34" t="s">
        <v>110</v>
      </c>
      <c r="I46" s="35">
        <v>0</v>
      </c>
      <c r="J46" s="35"/>
      <c r="K46" s="30"/>
      <c r="L46" s="30"/>
      <c r="M46" s="30"/>
      <c r="N46" s="30"/>
      <c r="O46" s="30"/>
      <c r="P46" s="30"/>
      <c r="Q46" s="30"/>
      <c r="R46" s="30"/>
      <c r="S46" s="30"/>
      <c r="T46" s="30"/>
      <c r="U46" s="31"/>
    </row>
    <row r="47" spans="2:21" ht="18" x14ac:dyDescent="0.35">
      <c r="B47" s="18">
        <v>760</v>
      </c>
      <c r="C47" s="19">
        <v>0.19</v>
      </c>
      <c r="D47" s="19">
        <v>12000</v>
      </c>
      <c r="E47" s="19">
        <v>9</v>
      </c>
      <c r="F47" s="20">
        <v>7.0000000000000007E-2</v>
      </c>
      <c r="H47" s="34" t="s">
        <v>65</v>
      </c>
      <c r="I47" s="35">
        <v>97</v>
      </c>
      <c r="J47" s="35"/>
      <c r="K47" s="30"/>
      <c r="L47" s="30"/>
      <c r="M47" s="30"/>
      <c r="N47" s="30"/>
      <c r="O47" s="30"/>
      <c r="P47" s="30"/>
      <c r="Q47" s="30"/>
      <c r="R47" s="30"/>
      <c r="S47" s="30"/>
      <c r="T47" s="30"/>
      <c r="U47" s="31"/>
    </row>
    <row r="48" spans="2:21" ht="18" x14ac:dyDescent="0.35">
      <c r="B48" s="18">
        <v>620</v>
      </c>
      <c r="C48" s="19">
        <v>0.41</v>
      </c>
      <c r="D48" s="19">
        <v>34000</v>
      </c>
      <c r="E48" s="19">
        <v>1</v>
      </c>
      <c r="F48" s="20">
        <v>0.39</v>
      </c>
      <c r="H48" s="34" t="s">
        <v>74</v>
      </c>
      <c r="I48" s="35">
        <v>147.22884250575598</v>
      </c>
      <c r="J48" s="35"/>
      <c r="K48" s="30"/>
      <c r="L48" s="30"/>
      <c r="M48" s="30"/>
      <c r="N48" s="30"/>
      <c r="O48" s="30"/>
      <c r="P48" s="30"/>
      <c r="Q48" s="30"/>
      <c r="R48" s="30"/>
      <c r="S48" s="30"/>
      <c r="T48" s="30"/>
      <c r="U48" s="31"/>
    </row>
    <row r="49" spans="2:21" ht="18" x14ac:dyDescent="0.35">
      <c r="B49" s="18">
        <v>730</v>
      </c>
      <c r="C49" s="19">
        <v>0.23</v>
      </c>
      <c r="D49" s="19">
        <v>14000</v>
      </c>
      <c r="E49" s="19">
        <v>6</v>
      </c>
      <c r="F49" s="20">
        <v>0.13</v>
      </c>
      <c r="H49" s="34" t="s">
        <v>111</v>
      </c>
      <c r="I49" s="35">
        <v>3.770739042737979E-116</v>
      </c>
      <c r="J49" s="35"/>
      <c r="K49" s="30"/>
      <c r="L49" s="30"/>
      <c r="M49" s="30"/>
      <c r="N49" s="30"/>
      <c r="O49" s="30"/>
      <c r="P49" s="30"/>
      <c r="Q49" s="30"/>
      <c r="R49" s="30"/>
      <c r="S49" s="30"/>
      <c r="T49" s="30"/>
      <c r="U49" s="31"/>
    </row>
    <row r="50" spans="2:21" ht="18" x14ac:dyDescent="0.35">
      <c r="B50" s="18">
        <v>670</v>
      </c>
      <c r="C50" s="19">
        <v>0.35</v>
      </c>
      <c r="D50" s="19">
        <v>25000</v>
      </c>
      <c r="E50" s="19">
        <v>3</v>
      </c>
      <c r="F50" s="20">
        <v>0.26</v>
      </c>
      <c r="H50" s="34" t="s">
        <v>112</v>
      </c>
      <c r="I50" s="35">
        <v>1.6607146101230255</v>
      </c>
      <c r="J50" s="35"/>
      <c r="K50" s="30"/>
      <c r="L50" s="30"/>
      <c r="M50" s="30"/>
      <c r="N50" s="30"/>
      <c r="O50" s="30"/>
      <c r="P50" s="30"/>
      <c r="Q50" s="30"/>
      <c r="R50" s="30"/>
      <c r="S50" s="30"/>
      <c r="T50" s="30"/>
      <c r="U50" s="31"/>
    </row>
    <row r="51" spans="2:21" ht="18" x14ac:dyDescent="0.35">
      <c r="B51" s="18">
        <v>740</v>
      </c>
      <c r="C51" s="19">
        <v>0.2</v>
      </c>
      <c r="D51" s="19">
        <v>13000</v>
      </c>
      <c r="E51" s="19">
        <v>8</v>
      </c>
      <c r="F51" s="20">
        <v>0.08</v>
      </c>
      <c r="H51" s="34" t="s">
        <v>113</v>
      </c>
      <c r="I51" s="35">
        <v>7.5414780854759581E-116</v>
      </c>
      <c r="J51" s="35"/>
      <c r="K51" s="30"/>
      <c r="L51" s="30"/>
      <c r="M51" s="30"/>
      <c r="N51" s="30"/>
      <c r="O51" s="30"/>
      <c r="P51" s="30"/>
      <c r="Q51" s="30"/>
      <c r="R51" s="30"/>
      <c r="S51" s="30"/>
      <c r="T51" s="30"/>
      <c r="U51" s="31"/>
    </row>
    <row r="52" spans="2:21" ht="18" x14ac:dyDescent="0.35">
      <c r="B52" s="18">
        <v>610</v>
      </c>
      <c r="C52" s="19">
        <v>0.44</v>
      </c>
      <c r="D52" s="19">
        <v>33000</v>
      </c>
      <c r="E52" s="19">
        <v>2</v>
      </c>
      <c r="F52" s="20">
        <v>0.37</v>
      </c>
      <c r="H52" s="34" t="s">
        <v>114</v>
      </c>
      <c r="I52" s="35">
        <v>1.9847231860139838</v>
      </c>
      <c r="J52" s="35"/>
      <c r="K52" s="30"/>
      <c r="L52" s="30"/>
      <c r="M52" s="30"/>
      <c r="N52" s="30"/>
      <c r="O52" s="30"/>
      <c r="P52" s="30"/>
      <c r="Q52" s="30"/>
      <c r="R52" s="30"/>
      <c r="S52" s="30"/>
      <c r="T52" s="30"/>
      <c r="U52" s="31"/>
    </row>
    <row r="53" spans="2:21" ht="18" x14ac:dyDescent="0.35">
      <c r="B53" s="18">
        <v>700</v>
      </c>
      <c r="C53" s="19">
        <v>0.28000000000000003</v>
      </c>
      <c r="D53" s="19">
        <v>18000</v>
      </c>
      <c r="E53" s="19">
        <v>5</v>
      </c>
      <c r="F53" s="20">
        <v>0.17</v>
      </c>
      <c r="H53" s="29"/>
      <c r="I53" s="30"/>
      <c r="J53" s="30"/>
      <c r="K53" s="30"/>
      <c r="L53" s="30"/>
      <c r="M53" s="30"/>
      <c r="N53" s="30"/>
      <c r="O53" s="30"/>
      <c r="P53" s="30"/>
      <c r="Q53" s="30"/>
      <c r="R53" s="30"/>
      <c r="S53" s="30"/>
      <c r="T53" s="30"/>
      <c r="U53" s="31"/>
    </row>
    <row r="54" spans="2:21" ht="18.600000000000001" thickBot="1" x14ac:dyDescent="0.4">
      <c r="B54" s="18">
        <v>680</v>
      </c>
      <c r="C54" s="19">
        <v>0.33</v>
      </c>
      <c r="D54" s="19">
        <v>22000</v>
      </c>
      <c r="E54" s="19">
        <v>4</v>
      </c>
      <c r="F54" s="20">
        <v>0.23</v>
      </c>
      <c r="H54" s="41"/>
      <c r="I54" s="42"/>
      <c r="J54" s="42"/>
      <c r="K54" s="42"/>
      <c r="L54" s="42"/>
      <c r="M54" s="42"/>
      <c r="N54" s="42"/>
      <c r="O54" s="42"/>
      <c r="P54" s="42"/>
      <c r="Q54" s="42"/>
      <c r="R54" s="42"/>
      <c r="S54" s="42"/>
      <c r="T54" s="42"/>
      <c r="U54" s="43"/>
    </row>
    <row r="55" spans="2:21" ht="17.399999999999999" x14ac:dyDescent="0.3">
      <c r="B55" s="18">
        <v>720</v>
      </c>
      <c r="C55" s="19">
        <v>0.22</v>
      </c>
      <c r="D55" s="19">
        <v>16000</v>
      </c>
      <c r="E55" s="19">
        <v>7</v>
      </c>
      <c r="F55" s="20">
        <v>0.1</v>
      </c>
    </row>
    <row r="56" spans="2:21" ht="17.399999999999999" x14ac:dyDescent="0.3">
      <c r="B56" s="18">
        <v>660</v>
      </c>
      <c r="C56" s="19">
        <v>0.36</v>
      </c>
      <c r="D56" s="19">
        <v>26000</v>
      </c>
      <c r="E56" s="19">
        <v>3</v>
      </c>
      <c r="F56" s="20">
        <v>0.28999999999999998</v>
      </c>
    </row>
    <row r="57" spans="2:21" ht="17.399999999999999" x14ac:dyDescent="0.3">
      <c r="B57" s="18">
        <v>750</v>
      </c>
      <c r="C57" s="19">
        <v>0.18</v>
      </c>
      <c r="D57" s="19">
        <v>11000</v>
      </c>
      <c r="E57" s="19">
        <v>10</v>
      </c>
      <c r="F57" s="20">
        <v>0.06</v>
      </c>
    </row>
    <row r="58" spans="2:21" ht="17.399999999999999" x14ac:dyDescent="0.3">
      <c r="B58" s="18">
        <v>630</v>
      </c>
      <c r="C58" s="19">
        <v>0.42</v>
      </c>
      <c r="D58" s="19">
        <v>31000</v>
      </c>
      <c r="E58" s="19">
        <v>1</v>
      </c>
      <c r="F58" s="20">
        <v>0.35</v>
      </c>
    </row>
    <row r="59" spans="2:21" ht="17.399999999999999" x14ac:dyDescent="0.3">
      <c r="B59" s="18">
        <v>710</v>
      </c>
      <c r="C59" s="19">
        <v>0.27</v>
      </c>
      <c r="D59" s="19">
        <v>17000</v>
      </c>
      <c r="E59" s="19">
        <v>5</v>
      </c>
      <c r="F59" s="20">
        <v>0.15</v>
      </c>
    </row>
    <row r="60" spans="2:21" ht="17.399999999999999" x14ac:dyDescent="0.3">
      <c r="B60" s="18">
        <v>670</v>
      </c>
      <c r="C60" s="19">
        <v>0.34</v>
      </c>
      <c r="D60" s="19">
        <v>24000</v>
      </c>
      <c r="E60" s="19">
        <v>3</v>
      </c>
      <c r="F60" s="20">
        <v>0.27</v>
      </c>
    </row>
    <row r="61" spans="2:21" ht="17.399999999999999" x14ac:dyDescent="0.3">
      <c r="B61" s="18">
        <v>740</v>
      </c>
      <c r="C61" s="19">
        <v>0.21</v>
      </c>
      <c r="D61" s="19">
        <v>13000</v>
      </c>
      <c r="E61" s="19">
        <v>8</v>
      </c>
      <c r="F61" s="20">
        <v>0.09</v>
      </c>
    </row>
    <row r="62" spans="2:21" ht="17.399999999999999" x14ac:dyDescent="0.3">
      <c r="B62" s="18">
        <v>620</v>
      </c>
      <c r="C62" s="19">
        <v>0.45</v>
      </c>
      <c r="D62" s="19">
        <v>35000</v>
      </c>
      <c r="E62" s="19">
        <v>2</v>
      </c>
      <c r="F62" s="20">
        <v>0.4</v>
      </c>
    </row>
    <row r="63" spans="2:21" ht="17.399999999999999" x14ac:dyDescent="0.3">
      <c r="B63" s="18">
        <v>700</v>
      </c>
      <c r="C63" s="19">
        <v>0.28999999999999998</v>
      </c>
      <c r="D63" s="19">
        <v>19000</v>
      </c>
      <c r="E63" s="19">
        <v>5</v>
      </c>
      <c r="F63" s="20">
        <v>0.16</v>
      </c>
    </row>
    <row r="64" spans="2:21" ht="17.399999999999999" x14ac:dyDescent="0.3">
      <c r="B64" s="18">
        <v>680</v>
      </c>
      <c r="C64" s="19">
        <v>0.32</v>
      </c>
      <c r="D64" s="19">
        <v>23000</v>
      </c>
      <c r="E64" s="19">
        <v>4</v>
      </c>
      <c r="F64" s="20">
        <v>0.24</v>
      </c>
    </row>
    <row r="65" spans="2:6" ht="17.399999999999999" x14ac:dyDescent="0.3">
      <c r="B65" s="18">
        <v>710</v>
      </c>
      <c r="C65" s="19">
        <v>0.24</v>
      </c>
      <c r="D65" s="19">
        <v>15000</v>
      </c>
      <c r="E65" s="19">
        <v>7</v>
      </c>
      <c r="F65" s="20">
        <v>0.11</v>
      </c>
    </row>
    <row r="66" spans="2:6" ht="17.399999999999999" x14ac:dyDescent="0.3">
      <c r="B66" s="18">
        <v>650</v>
      </c>
      <c r="C66" s="19">
        <v>0.37</v>
      </c>
      <c r="D66" s="19">
        <v>27000</v>
      </c>
      <c r="E66" s="19">
        <v>2</v>
      </c>
      <c r="F66" s="20">
        <v>0.3</v>
      </c>
    </row>
    <row r="67" spans="2:6" ht="17.399999999999999" x14ac:dyDescent="0.3">
      <c r="B67" s="18">
        <v>760</v>
      </c>
      <c r="C67" s="19">
        <v>0.19</v>
      </c>
      <c r="D67" s="19">
        <v>12000</v>
      </c>
      <c r="E67" s="19">
        <v>9</v>
      </c>
      <c r="F67" s="20">
        <v>7.0000000000000007E-2</v>
      </c>
    </row>
    <row r="68" spans="2:6" ht="17.399999999999999" x14ac:dyDescent="0.3">
      <c r="B68" s="18">
        <v>620</v>
      </c>
      <c r="C68" s="19">
        <v>0.41</v>
      </c>
      <c r="D68" s="19">
        <v>34000</v>
      </c>
      <c r="E68" s="19">
        <v>1</v>
      </c>
      <c r="F68" s="20">
        <v>0.39</v>
      </c>
    </row>
    <row r="69" spans="2:6" ht="17.399999999999999" x14ac:dyDescent="0.3">
      <c r="B69" s="18">
        <v>730</v>
      </c>
      <c r="C69" s="19">
        <v>0.23</v>
      </c>
      <c r="D69" s="19">
        <v>14000</v>
      </c>
      <c r="E69" s="19">
        <v>6</v>
      </c>
      <c r="F69" s="20">
        <v>0.13</v>
      </c>
    </row>
    <row r="70" spans="2:6" ht="17.399999999999999" x14ac:dyDescent="0.3">
      <c r="B70" s="18">
        <v>670</v>
      </c>
      <c r="C70" s="19">
        <v>0.35</v>
      </c>
      <c r="D70" s="19">
        <v>25000</v>
      </c>
      <c r="E70" s="19">
        <v>3</v>
      </c>
      <c r="F70" s="20">
        <v>0.26</v>
      </c>
    </row>
    <row r="71" spans="2:6" ht="17.399999999999999" x14ac:dyDescent="0.3">
      <c r="B71" s="18">
        <v>740</v>
      </c>
      <c r="C71" s="19">
        <v>0.2</v>
      </c>
      <c r="D71" s="19">
        <v>13000</v>
      </c>
      <c r="E71" s="19">
        <v>8</v>
      </c>
      <c r="F71" s="20">
        <v>0.08</v>
      </c>
    </row>
    <row r="72" spans="2:6" ht="17.399999999999999" x14ac:dyDescent="0.3">
      <c r="B72" s="18">
        <v>610</v>
      </c>
      <c r="C72" s="19">
        <v>0.44</v>
      </c>
      <c r="D72" s="19">
        <v>33000</v>
      </c>
      <c r="E72" s="19">
        <v>2</v>
      </c>
      <c r="F72" s="20">
        <v>0.37</v>
      </c>
    </row>
    <row r="73" spans="2:6" ht="17.399999999999999" x14ac:dyDescent="0.3">
      <c r="B73" s="18">
        <v>700</v>
      </c>
      <c r="C73" s="19">
        <v>0.28000000000000003</v>
      </c>
      <c r="D73" s="19">
        <v>18000</v>
      </c>
      <c r="E73" s="19">
        <v>5</v>
      </c>
      <c r="F73" s="20">
        <v>0.17</v>
      </c>
    </row>
    <row r="74" spans="2:6" ht="17.399999999999999" x14ac:dyDescent="0.3">
      <c r="B74" s="18">
        <v>680</v>
      </c>
      <c r="C74" s="19">
        <v>0.33</v>
      </c>
      <c r="D74" s="19">
        <v>22000</v>
      </c>
      <c r="E74" s="19">
        <v>4</v>
      </c>
      <c r="F74" s="20">
        <v>0.23</v>
      </c>
    </row>
    <row r="75" spans="2:6" ht="17.399999999999999" x14ac:dyDescent="0.3">
      <c r="B75" s="18">
        <v>720</v>
      </c>
      <c r="C75" s="19">
        <v>0.22</v>
      </c>
      <c r="D75" s="19">
        <v>16000</v>
      </c>
      <c r="E75" s="19">
        <v>7</v>
      </c>
      <c r="F75" s="20">
        <v>0.1</v>
      </c>
    </row>
    <row r="76" spans="2:6" ht="17.399999999999999" x14ac:dyDescent="0.3">
      <c r="B76" s="18">
        <v>660</v>
      </c>
      <c r="C76" s="19">
        <v>0.36</v>
      </c>
      <c r="D76" s="19">
        <v>26000</v>
      </c>
      <c r="E76" s="19">
        <v>3</v>
      </c>
      <c r="F76" s="20">
        <v>0.28999999999999998</v>
      </c>
    </row>
    <row r="77" spans="2:6" ht="17.399999999999999" x14ac:dyDescent="0.3">
      <c r="B77" s="18">
        <v>750</v>
      </c>
      <c r="C77" s="19">
        <v>0.18</v>
      </c>
      <c r="D77" s="19">
        <v>11000</v>
      </c>
      <c r="E77" s="19">
        <v>10</v>
      </c>
      <c r="F77" s="20">
        <v>0.06</v>
      </c>
    </row>
    <row r="78" spans="2:6" ht="17.399999999999999" x14ac:dyDescent="0.3">
      <c r="B78" s="18">
        <v>630</v>
      </c>
      <c r="C78" s="19">
        <v>0.42</v>
      </c>
      <c r="D78" s="19">
        <v>31000</v>
      </c>
      <c r="E78" s="19">
        <v>1</v>
      </c>
      <c r="F78" s="20">
        <v>0.35</v>
      </c>
    </row>
    <row r="79" spans="2:6" ht="17.399999999999999" x14ac:dyDescent="0.3">
      <c r="B79" s="18">
        <v>710</v>
      </c>
      <c r="C79" s="19">
        <v>0.27</v>
      </c>
      <c r="D79" s="19">
        <v>17000</v>
      </c>
      <c r="E79" s="19">
        <v>5</v>
      </c>
      <c r="F79" s="20">
        <v>0.15</v>
      </c>
    </row>
    <row r="80" spans="2:6" ht="17.399999999999999" x14ac:dyDescent="0.3">
      <c r="B80" s="18">
        <v>670</v>
      </c>
      <c r="C80" s="19">
        <v>0.34</v>
      </c>
      <c r="D80" s="19">
        <v>24000</v>
      </c>
      <c r="E80" s="19">
        <v>3</v>
      </c>
      <c r="F80" s="20">
        <v>0.27</v>
      </c>
    </row>
    <row r="81" spans="2:6" ht="17.399999999999999" x14ac:dyDescent="0.3">
      <c r="B81" s="18">
        <v>740</v>
      </c>
      <c r="C81" s="19">
        <v>0.21</v>
      </c>
      <c r="D81" s="19">
        <v>13000</v>
      </c>
      <c r="E81" s="19">
        <v>8</v>
      </c>
      <c r="F81" s="20">
        <v>0.09</v>
      </c>
    </row>
    <row r="82" spans="2:6" ht="17.399999999999999" x14ac:dyDescent="0.3">
      <c r="B82" s="18">
        <v>620</v>
      </c>
      <c r="C82" s="19">
        <v>0.45</v>
      </c>
      <c r="D82" s="19">
        <v>35000</v>
      </c>
      <c r="E82" s="19">
        <v>2</v>
      </c>
      <c r="F82" s="20">
        <v>0.4</v>
      </c>
    </row>
    <row r="83" spans="2:6" ht="17.399999999999999" x14ac:dyDescent="0.3">
      <c r="B83" s="18">
        <v>700</v>
      </c>
      <c r="C83" s="19">
        <v>0.28999999999999998</v>
      </c>
      <c r="D83" s="19">
        <v>19000</v>
      </c>
      <c r="E83" s="19">
        <v>5</v>
      </c>
      <c r="F83" s="20">
        <v>0.16</v>
      </c>
    </row>
    <row r="84" spans="2:6" ht="17.399999999999999" x14ac:dyDescent="0.3">
      <c r="B84" s="18">
        <v>680</v>
      </c>
      <c r="C84" s="19">
        <v>0.32</v>
      </c>
      <c r="D84" s="19">
        <v>23000</v>
      </c>
      <c r="E84" s="19">
        <v>4</v>
      </c>
      <c r="F84" s="20">
        <v>0.24</v>
      </c>
    </row>
    <row r="85" spans="2:6" ht="17.399999999999999" x14ac:dyDescent="0.3">
      <c r="B85" s="18">
        <v>710</v>
      </c>
      <c r="C85" s="19">
        <v>0.24</v>
      </c>
      <c r="D85" s="19">
        <v>15000</v>
      </c>
      <c r="E85" s="19">
        <v>7</v>
      </c>
      <c r="F85" s="20">
        <v>0.11</v>
      </c>
    </row>
    <row r="86" spans="2:6" ht="17.399999999999999" x14ac:dyDescent="0.3">
      <c r="B86" s="18">
        <v>650</v>
      </c>
      <c r="C86" s="19">
        <v>0.37</v>
      </c>
      <c r="D86" s="19">
        <v>27000</v>
      </c>
      <c r="E86" s="19">
        <v>2</v>
      </c>
      <c r="F86" s="20">
        <v>0.3</v>
      </c>
    </row>
    <row r="87" spans="2:6" ht="17.399999999999999" x14ac:dyDescent="0.3">
      <c r="B87" s="18">
        <v>760</v>
      </c>
      <c r="C87" s="19">
        <v>0.19</v>
      </c>
      <c r="D87" s="19">
        <v>12000</v>
      </c>
      <c r="E87" s="19">
        <v>9</v>
      </c>
      <c r="F87" s="20">
        <v>7.0000000000000007E-2</v>
      </c>
    </row>
    <row r="88" spans="2:6" ht="17.399999999999999" x14ac:dyDescent="0.3">
      <c r="B88" s="18">
        <v>620</v>
      </c>
      <c r="C88" s="19">
        <v>0.41</v>
      </c>
      <c r="D88" s="19">
        <v>34000</v>
      </c>
      <c r="E88" s="19">
        <v>1</v>
      </c>
      <c r="F88" s="20">
        <v>0.39</v>
      </c>
    </row>
    <row r="89" spans="2:6" ht="17.399999999999999" x14ac:dyDescent="0.3">
      <c r="B89" s="18">
        <v>730</v>
      </c>
      <c r="C89" s="19">
        <v>0.23</v>
      </c>
      <c r="D89" s="19">
        <v>14000</v>
      </c>
      <c r="E89" s="19">
        <v>6</v>
      </c>
      <c r="F89" s="20">
        <v>0.13</v>
      </c>
    </row>
    <row r="90" spans="2:6" ht="17.399999999999999" x14ac:dyDescent="0.3">
      <c r="B90" s="18">
        <v>670</v>
      </c>
      <c r="C90" s="19">
        <v>0.35</v>
      </c>
      <c r="D90" s="19">
        <v>25000</v>
      </c>
      <c r="E90" s="19">
        <v>3</v>
      </c>
      <c r="F90" s="20">
        <v>0.26</v>
      </c>
    </row>
    <row r="91" spans="2:6" ht="17.399999999999999" x14ac:dyDescent="0.3">
      <c r="B91" s="18">
        <v>740</v>
      </c>
      <c r="C91" s="19">
        <v>0.2</v>
      </c>
      <c r="D91" s="19">
        <v>13000</v>
      </c>
      <c r="E91" s="19">
        <v>8</v>
      </c>
      <c r="F91" s="20">
        <v>0.08</v>
      </c>
    </row>
    <row r="92" spans="2:6" ht="17.399999999999999" x14ac:dyDescent="0.3">
      <c r="B92" s="18">
        <v>610</v>
      </c>
      <c r="C92" s="19">
        <v>0.44</v>
      </c>
      <c r="D92" s="19">
        <v>33000</v>
      </c>
      <c r="E92" s="19">
        <v>2</v>
      </c>
      <c r="F92" s="20">
        <v>0.37</v>
      </c>
    </row>
    <row r="93" spans="2:6" ht="17.399999999999999" x14ac:dyDescent="0.3">
      <c r="B93" s="18">
        <v>700</v>
      </c>
      <c r="C93" s="19">
        <v>0.28000000000000003</v>
      </c>
      <c r="D93" s="19">
        <v>18000</v>
      </c>
      <c r="E93" s="19">
        <v>5</v>
      </c>
      <c r="F93" s="20">
        <v>0.17</v>
      </c>
    </row>
    <row r="94" spans="2:6" ht="17.399999999999999" x14ac:dyDescent="0.3">
      <c r="B94" s="18">
        <v>680</v>
      </c>
      <c r="C94" s="19">
        <v>0.33</v>
      </c>
      <c r="D94" s="19">
        <v>22000</v>
      </c>
      <c r="E94" s="19">
        <v>4</v>
      </c>
      <c r="F94" s="20">
        <v>0.23</v>
      </c>
    </row>
    <row r="95" spans="2:6" ht="17.399999999999999" x14ac:dyDescent="0.3">
      <c r="B95" s="18">
        <v>720</v>
      </c>
      <c r="C95" s="19">
        <v>0.22</v>
      </c>
      <c r="D95" s="19">
        <v>16000</v>
      </c>
      <c r="E95" s="19">
        <v>7</v>
      </c>
      <c r="F95" s="20">
        <v>0.1</v>
      </c>
    </row>
    <row r="96" spans="2:6" ht="17.399999999999999" x14ac:dyDescent="0.3">
      <c r="B96" s="18">
        <v>660</v>
      </c>
      <c r="C96" s="19">
        <v>0.36</v>
      </c>
      <c r="D96" s="19">
        <v>26000</v>
      </c>
      <c r="E96" s="19">
        <v>3</v>
      </c>
      <c r="F96" s="20">
        <v>0.28999999999999998</v>
      </c>
    </row>
    <row r="97" spans="2:6" ht="17.399999999999999" x14ac:dyDescent="0.3">
      <c r="B97" s="18">
        <v>750</v>
      </c>
      <c r="C97" s="19">
        <v>0.18</v>
      </c>
      <c r="D97" s="19">
        <v>11000</v>
      </c>
      <c r="E97" s="19">
        <v>10</v>
      </c>
      <c r="F97" s="20">
        <v>0.06</v>
      </c>
    </row>
    <row r="98" spans="2:6" ht="17.399999999999999" x14ac:dyDescent="0.3">
      <c r="B98" s="18">
        <v>630</v>
      </c>
      <c r="C98" s="19">
        <v>0.42</v>
      </c>
      <c r="D98" s="19">
        <v>31000</v>
      </c>
      <c r="E98" s="19">
        <v>1</v>
      </c>
      <c r="F98" s="20">
        <v>0.35</v>
      </c>
    </row>
    <row r="99" spans="2:6" ht="17.399999999999999" x14ac:dyDescent="0.3">
      <c r="B99" s="18">
        <v>710</v>
      </c>
      <c r="C99" s="19">
        <v>0.27</v>
      </c>
      <c r="D99" s="19">
        <v>17000</v>
      </c>
      <c r="E99" s="19">
        <v>5</v>
      </c>
      <c r="F99" s="20">
        <v>0.15</v>
      </c>
    </row>
    <row r="100" spans="2:6" ht="17.399999999999999" x14ac:dyDescent="0.3">
      <c r="B100" s="18">
        <v>670</v>
      </c>
      <c r="C100" s="19">
        <v>0.34</v>
      </c>
      <c r="D100" s="19">
        <v>24000</v>
      </c>
      <c r="E100" s="19">
        <v>3</v>
      </c>
      <c r="F100" s="20">
        <v>0.27</v>
      </c>
    </row>
    <row r="101" spans="2:6" ht="17.399999999999999" x14ac:dyDescent="0.3">
      <c r="B101" s="18">
        <v>740</v>
      </c>
      <c r="C101" s="19">
        <v>0.21</v>
      </c>
      <c r="D101" s="19">
        <v>13000</v>
      </c>
      <c r="E101" s="19">
        <v>8</v>
      </c>
      <c r="F101" s="20">
        <v>0.09</v>
      </c>
    </row>
    <row r="102" spans="2:6" ht="17.399999999999999" x14ac:dyDescent="0.3">
      <c r="B102" s="21">
        <v>620</v>
      </c>
      <c r="C102" s="22">
        <v>0.45</v>
      </c>
      <c r="D102" s="22">
        <v>35000</v>
      </c>
      <c r="E102" s="22">
        <v>2</v>
      </c>
      <c r="F102" s="23">
        <v>0.4</v>
      </c>
    </row>
  </sheetData>
  <mergeCells count="1">
    <mergeCell ref="B2:V2"/>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Visual Representation</vt:lpstr>
      <vt:lpstr>Descriptive Statistics</vt:lpstr>
      <vt:lpstr>Correlation &amp; Coefficient</vt:lpstr>
      <vt:lpstr>Regression Analysis </vt:lpstr>
      <vt:lpstr> Hypothesis 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Shariqua Siddiqui</dc:creator>
  <cp:keywords/>
  <dc:description/>
  <cp:lastModifiedBy>admin</cp:lastModifiedBy>
  <cp:revision/>
  <dcterms:created xsi:type="dcterms:W3CDTF">2025-10-16T13:28:47Z</dcterms:created>
  <dcterms:modified xsi:type="dcterms:W3CDTF">2026-09-12T11:40:21Z</dcterms:modified>
  <cp:category/>
  <cp:contentStatus/>
</cp:coreProperties>
</file>